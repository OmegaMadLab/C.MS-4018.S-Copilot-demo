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3"/>
  <workbookPr/>
  <bookViews>
    <workbookView xWindow="0" yWindow="0" windowWidth="0" windowHeight="0" xr2:uid="{00000000-000D-0000-FFFF-FFFF00000000}"/>
  </bookViews>
  <sheets>
    <sheet name="Read me" sheetId="1" r:id="rId1"/>
    <sheet name="Sales" sheetId="2" r:id="rId2"/>
    <sheet name="Summary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" i="3" l="1"/>
  <c r="E12" i="3"/>
  <c r="D12" i="3"/>
  <c r="C12" i="3"/>
  <c r="B12" i="3"/>
  <c r="F11" i="3"/>
  <c r="E11" i="3"/>
  <c r="D11" i="3"/>
  <c r="C11" i="3"/>
  <c r="B11" i="3"/>
  <c r="F10" i="3"/>
  <c r="E10" i="3"/>
  <c r="D10" i="3"/>
  <c r="C10" i="3"/>
  <c r="B10" i="3"/>
  <c r="F9" i="3"/>
  <c r="E9" i="3"/>
  <c r="D9" i="3"/>
  <c r="C9" i="3"/>
  <c r="B9" i="3"/>
  <c r="F8" i="3"/>
  <c r="E8" i="3"/>
  <c r="D8" i="3"/>
  <c r="B8" i="3"/>
  <c r="F7" i="3"/>
  <c r="E7" i="3"/>
  <c r="D7" i="3"/>
  <c r="C7" i="3"/>
  <c r="B7" i="3"/>
  <c r="F6" i="3"/>
  <c r="E6" i="3"/>
  <c r="D6" i="3"/>
  <c r="C6" i="3"/>
  <c r="B6" i="3"/>
  <c r="F5" i="3"/>
  <c r="E5" i="3"/>
  <c r="D5" i="3"/>
  <c r="C5" i="3"/>
  <c r="B5" i="3"/>
</calcChain>
</file>

<file path=xl/sharedStrings.xml><?xml version="1.0" encoding="utf-8"?>
<sst xmlns="http://schemas.openxmlformats.org/spreadsheetml/2006/main" count="1401" uniqueCount="61">
  <si>
    <t>Contoso Ltd – Sales Q3 2026 (July–September)</t>
  </si>
  <si>
    <t>Source: ERP export, monthly, by country, channel and category. Amounts in USD thousands.</t>
  </si>
  <si>
    <t>Prepared by: Sales Operations. Status: draft, not yet validated.</t>
  </si>
  <si>
    <t>Sheets: Sales (detail), Summary (by country).</t>
  </si>
  <si>
    <t>Column</t>
  </si>
  <si>
    <t>Description</t>
  </si>
  <si>
    <t>Month</t>
  </si>
  <si>
    <t>Calendar month of the sale, text in the format YYYY-MM.</t>
  </si>
  <si>
    <t>Country</t>
  </si>
  <si>
    <t>Country where the sale was booked.</t>
  </si>
  <si>
    <t>Channel</t>
  </si>
  <si>
    <t>Sales channel: Retail, E-commerce, Distributors or Direct B2B.</t>
  </si>
  <si>
    <t>Category</t>
  </si>
  <si>
    <t>Product category: Home Comfort, Office Solutions, Personal Care, Accessories.</t>
  </si>
  <si>
    <t>Units</t>
  </si>
  <si>
    <t>Number of units sold.</t>
  </si>
  <si>
    <t>Net sales (USD k)</t>
  </si>
  <si>
    <t>Net sales after discounts, in USD thousands.</t>
  </si>
  <si>
    <t>Promo spend (USD k)</t>
  </si>
  <si>
    <t>Promotional spend for the month, in USD thousands.</t>
  </si>
  <si>
    <t>Target (USD k)</t>
  </si>
  <si>
    <t>Net sales target for the month, in USD thousands.</t>
  </si>
  <si>
    <t>Gross margin %</t>
  </si>
  <si>
    <t>Gross margin as a share of net sales.</t>
  </si>
  <si>
    <t>Discount %</t>
  </si>
  <si>
    <t>Average discount given, as a share of list price.</t>
  </si>
  <si>
    <t>Fictitious demo data.</t>
  </si>
  <si>
    <t>2026-07</t>
  </si>
  <si>
    <t>United States</t>
  </si>
  <si>
    <t>Retail</t>
  </si>
  <si>
    <t>Home Comfort</t>
  </si>
  <si>
    <t>Office Solutions</t>
  </si>
  <si>
    <t>Personal Care</t>
  </si>
  <si>
    <t>Accessories</t>
  </si>
  <si>
    <t>E-commerce</t>
  </si>
  <si>
    <t>Distributors</t>
  </si>
  <si>
    <t>Accesories</t>
  </si>
  <si>
    <t>Direct B2B</t>
  </si>
  <si>
    <t>Germany</t>
  </si>
  <si>
    <t>Home comfort</t>
  </si>
  <si>
    <t>United Kingdom</t>
  </si>
  <si>
    <t>Brazil</t>
  </si>
  <si>
    <t>accessories</t>
  </si>
  <si>
    <t>Japan</t>
  </si>
  <si>
    <t>Australia</t>
  </si>
  <si>
    <t>Pers. Care</t>
  </si>
  <si>
    <t>India</t>
  </si>
  <si>
    <t>2026-08</t>
  </si>
  <si>
    <t>Personal care</t>
  </si>
  <si>
    <t>HomeComfort</t>
  </si>
  <si>
    <t>2026-09</t>
  </si>
  <si>
    <t>Office solutions</t>
  </si>
  <si>
    <t>Office</t>
  </si>
  <si>
    <t>Q3 2026 – Summary by country (USD k)</t>
  </si>
  <si>
    <t>Source: table SalesQ3 (sheet Sales). Amounts in USD thousands.</t>
  </si>
  <si>
    <t>Net sales</t>
  </si>
  <si>
    <t>Target</t>
  </si>
  <si>
    <t>Achievement %</t>
  </si>
  <si>
    <t>Promo spend</t>
  </si>
  <si>
    <t>Promo % of sales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</si>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</sst>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%"/>
  </numFmts>
  <fonts count="7">
    <font>
      <sz val="11"/>
      <color theme="1"/>
      <name val="Calibri"/>
      <family val="2"/>
      <scheme val="minor"/>
    </font>
    <font>
      <sz val="10"/>
      <color theme="1"/>
      <name val="Segoe UI"/>
    </font>
    <font>
      <b/>
      <sz val="10"/>
      <color theme="1"/>
      <name val="Segoe UI"/>
    </font>
    <font>
      <b/>
      <sz val="10"/>
      <color rgb="FFFFFFFF"/>
      <name val="Segoe UI"/>
    </font>
    <font>
      <i/>
      <sz val="10"/>
      <color rgb="FF667085"/>
      <name val="Segoe UI"/>
    </font>
    <font>
      <b/>
      <sz val="16"/>
      <color rgb="FF14213D"/>
      <name val="Segoe UI"/>
    </font>
    <font>
      <b/>
      <sz val="14"/>
      <color rgb="FF14213D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0F7C90"/>
        <bgColor indexed="64"/>
      </patternFill>
    </fill>
    <fill>
      <patternFill patternType="solid">
        <fgColor rgb="FFF2F4F7"/>
        <bgColor indexed="64"/>
      </patternFill>
    </fill>
  </fills>
  <borders count="8">
    <border>
      <left/>
      <right/>
      <top/>
      <bottom/>
      <diagonal/>
    </border>
    <border>
      <left style="thin">
        <color rgb="FFD0D5DD"/>
      </left>
      <right/>
      <top style="thin">
        <color rgb="FFD0D5DD"/>
      </top>
      <bottom/>
      <diagonal/>
    </border>
    <border>
      <left style="thin">
        <color rgb="FFD0D5DD"/>
      </left>
      <right/>
      <top/>
      <bottom/>
      <diagonal/>
    </border>
    <border>
      <left style="thin">
        <color rgb="FFD0D5DD"/>
      </left>
      <right/>
      <top/>
      <bottom style="thin">
        <color rgb="FFD0D5DD"/>
      </bottom>
      <diagonal/>
    </border>
    <border>
      <left/>
      <right style="thin">
        <color rgb="FFD0D5DD"/>
      </right>
      <top style="thin">
        <color rgb="FFD0D5DD"/>
      </top>
      <bottom/>
      <diagonal/>
    </border>
    <border>
      <left/>
      <right style="thin">
        <color rgb="FFD0D5DD"/>
      </right>
      <top/>
      <bottom/>
      <diagonal/>
    </border>
    <border>
      <left/>
      <right style="thin">
        <color rgb="FFD0D5DD"/>
      </right>
      <top/>
      <bottom style="thin">
        <color rgb="FFD0D5DD"/>
      </bottom>
      <diagonal/>
    </border>
    <border>
      <left/>
      <right/>
      <top style="thin">
        <color rgb="FF14213D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3" fillId="2" borderId="0" xfId="0" applyFont="1" applyFill="1" applyAlignment="1">
      <alignment vertical="center"/>
    </xf>
    <xf numFmtId="0" fontId="1" fillId="3" borderId="0" xfId="0" applyFont="1" applyFill="1"/>
    <xf numFmtId="0" fontId="3" fillId="2" borderId="1" xfId="0" applyFont="1" applyFill="1" applyBorder="1" applyAlignment="1">
      <alignment vertical="center"/>
    </xf>
    <xf numFmtId="0" fontId="1" fillId="0" borderId="2" xfId="0" applyFont="1" applyBorder="1"/>
    <xf numFmtId="0" fontId="1" fillId="3" borderId="2" xfId="0" applyFont="1" applyFill="1" applyBorder="1"/>
    <xf numFmtId="0" fontId="1" fillId="3" borderId="3" xfId="0" applyFont="1" applyFill="1" applyBorder="1"/>
    <xf numFmtId="0" fontId="3" fillId="2" borderId="4" xfId="0" applyFont="1" applyFill="1" applyBorder="1" applyAlignment="1">
      <alignment vertical="center"/>
    </xf>
    <xf numFmtId="0" fontId="1" fillId="0" borderId="5" xfId="0" applyFont="1" applyBorder="1"/>
    <xf numFmtId="0" fontId="1" fillId="3" borderId="5" xfId="0" applyFont="1" applyFill="1" applyBorder="1"/>
    <xf numFmtId="0" fontId="1" fillId="3" borderId="6" xfId="0" applyFont="1" applyFill="1" applyBorder="1"/>
    <xf numFmtId="0" fontId="4" fillId="0" borderId="0" xfId="0" applyFont="1"/>
    <xf numFmtId="0" fontId="5" fillId="0" borderId="0" xfId="0" applyFont="1"/>
    <xf numFmtId="49" fontId="3" fillId="2" borderId="0" xfId="0" applyNumberFormat="1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3" fontId="1" fillId="0" borderId="0" xfId="0" applyNumberFormat="1" applyFont="1"/>
    <xf numFmtId="164" fontId="1" fillId="0" borderId="0" xfId="0" applyNumberFormat="1" applyFont="1"/>
    <xf numFmtId="165" fontId="1" fillId="0" borderId="0" xfId="0" applyNumberFormat="1" applyFont="1"/>
    <xf numFmtId="49" fontId="1" fillId="0" borderId="0" xfId="0" applyNumberFormat="1" applyFont="1" applyAlignment="1">
      <alignment horizontal="left"/>
    </xf>
    <xf numFmtId="49" fontId="1" fillId="3" borderId="0" xfId="0" applyNumberFormat="1" applyFont="1" applyFill="1" applyAlignment="1">
      <alignment horizontal="left"/>
    </xf>
    <xf numFmtId="3" fontId="1" fillId="3" borderId="0" xfId="0" applyNumberFormat="1" applyFont="1" applyFill="1"/>
    <xf numFmtId="164" fontId="1" fillId="3" borderId="0" xfId="0" applyNumberFormat="1" applyFont="1" applyFill="1"/>
    <xf numFmtId="165" fontId="1" fillId="3" borderId="0" xfId="0" applyNumberFormat="1" applyFont="1" applyFill="1"/>
    <xf numFmtId="0" fontId="6" fillId="0" borderId="0" xfId="0" applyFont="1"/>
    <xf numFmtId="0" fontId="3" fillId="2" borderId="0" xfId="0" applyFont="1" applyFill="1" applyAlignment="1">
      <alignment horizontal="right" vertical="center"/>
    </xf>
    <xf numFmtId="0" fontId="2" fillId="0" borderId="7" xfId="0" applyFont="1" applyBorder="1"/>
    <xf numFmtId="164" fontId="2" fillId="0" borderId="7" xfId="0" applyNumberFormat="1" applyFont="1" applyBorder="1"/>
    <xf numFmtId="165" fontId="2" fillId="0" borderId="7" xfId="0" applyNumberFormat="1" applyFont="1" applyBorder="1"/>
  </cellXfs>
  <cellStyles count="1">
    <cellStyle name="Normal" xfId="0" builtinId="0"/>
  </cellStyles>
  <dxfs count="12">
    <dxf>
      <font>
        <sz val="10"/>
        <name val="Segoe UI"/>
      </font>
      <numFmt numFmtId="165" formatCode="0.0%"/>
    </dxf>
    <dxf>
      <font>
        <sz val="10"/>
        <name val="Segoe UI"/>
      </font>
      <numFmt numFmtId="165" formatCode="0.0%"/>
    </dxf>
    <dxf>
      <font>
        <sz val="10"/>
        <name val="Segoe UI"/>
      </font>
      <numFmt numFmtId="164" formatCode="#,##0.0"/>
    </dxf>
    <dxf>
      <font>
        <sz val="10"/>
        <name val="Segoe UI"/>
      </font>
      <numFmt numFmtId="164" formatCode="#,##0.0"/>
    </dxf>
    <dxf>
      <font>
        <sz val="10"/>
        <name val="Segoe UI"/>
      </font>
      <numFmt numFmtId="164" formatCode="#,##0.0"/>
    </dxf>
    <dxf>
      <font>
        <sz val="10"/>
        <name val="Segoe UI"/>
      </font>
      <numFmt numFmtId="3" formatCode="#,##0"/>
    </dxf>
    <dxf>
      <font>
        <sz val="10"/>
        <name val="Segoe UI"/>
      </font>
    </dxf>
    <dxf>
      <font>
        <sz val="10"/>
        <name val="Segoe UI"/>
      </font>
    </dxf>
    <dxf>
      <font>
        <sz val="10"/>
        <name val="Segoe UI"/>
      </font>
    </dxf>
    <dxf>
      <font>
        <sz val="10"/>
        <name val="Segoe UI"/>
      </font>
      <numFmt numFmtId="30" formatCode="@"/>
      <alignment horizontal="left"/>
    </dxf>
    <dxf>
      <font>
        <sz val="10"/>
        <name val="Segoe UI"/>
      </font>
    </dxf>
    <dxf>
      <font>
        <b/>
        <sz val="10"/>
        <color rgb="FFFFFFFF"/>
        <name val="Segoe UI"/>
      </font>
      <fill>
        <patternFill patternType="solid">
          <fgColor indexed="64"/>
          <bgColor rgb="FF0F7C90"/>
        </patternFill>
      </fill>
      <alignment horizontal="center" vertical="center" wrapText="1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2F2F610-E152-4EEA-A6D4-65CDDBACECDC}" name="SalesQ3" displayName="SalesQ3" ref="A1:J338" totalsRowShown="0" headerRowDxfId="11" dataDxfId="10">
  <autoFilter ref="A1:J338" xr:uid="{42F2F610-E152-4EEA-A6D4-65CDDBACECDC}"/>
  <tableColumns count="10">
    <tableColumn id="1" xr3:uid="{FEE587E0-D51E-4E87-9CEA-B212760A157F}" name="Month" dataDxfId="9"/>
    <tableColumn id="2" xr3:uid="{BF2BE6BE-B1D0-4102-9B60-74739CFDE29A}" name="Country" dataDxfId="8"/>
    <tableColumn id="3" xr3:uid="{B40E3A47-AD36-4DF6-BEC6-310094123A9C}" name="Channel" dataDxfId="7"/>
    <tableColumn id="4" xr3:uid="{E76C537A-8DB0-4A88-8139-E3EEE416D446}" name="Category" dataDxfId="6"/>
    <tableColumn id="5" xr3:uid="{F1F96F8C-E2EA-4CB5-8D9C-427128FA41BD}" name="Units" dataDxfId="5"/>
    <tableColumn id="6" xr3:uid="{1AAE8989-8990-403B-81FA-8D122F750C29}" name="Net sales (USD k)" dataDxfId="4"/>
    <tableColumn id="7" xr3:uid="{2FD3AEF6-010F-4E45-899E-E1CDBB82083A}" name="Promo spend (USD k)" dataDxfId="3"/>
    <tableColumn id="8" xr3:uid="{4DD1553F-5605-49F1-9AA9-CCFF5E8F983E}" name="Target (USD k)" dataDxfId="2"/>
    <tableColumn id="9" xr3:uid="{9EA97602-3E09-41B2-B4E6-A36189F752C5}" name="Gross margin %" dataDxfId="1"/>
    <tableColumn id="10" xr3:uid="{BC6EEE37-9C5F-4720-8529-54BD0F9F50FA}" name="Discount %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"/>
  <sheetViews>
    <sheetView workbookViewId="0"/>
  </sheetViews>
  <sheetFormatPr defaultRowHeight="15"/>
  <cols>
    <col min="1" max="1" width="24.7109375" customWidth="1"/>
    <col min="2" max="2" width="80.7109375" customWidth="1"/>
  </cols>
  <sheetData>
    <row r="1" spans="1:2" ht="25.5">
      <c r="A1" s="13" t="s">
        <v>0</v>
      </c>
      <c r="B1" s="1"/>
    </row>
    <row r="2" spans="1:2">
      <c r="A2" s="1"/>
      <c r="B2" s="1"/>
    </row>
    <row r="3" spans="1:2">
      <c r="A3" s="1" t="s">
        <v>1</v>
      </c>
      <c r="B3" s="1"/>
    </row>
    <row r="4" spans="1:2">
      <c r="A4" s="1" t="s">
        <v>2</v>
      </c>
      <c r="B4" s="1"/>
    </row>
    <row r="5" spans="1:2">
      <c r="A5" s="1" t="s">
        <v>3</v>
      </c>
      <c r="B5" s="1"/>
    </row>
    <row r="6" spans="1:2">
      <c r="A6" s="1"/>
      <c r="B6" s="1"/>
    </row>
    <row r="7" spans="1:2">
      <c r="A7" s="4" t="s">
        <v>4</v>
      </c>
      <c r="B7" s="8" t="s">
        <v>5</v>
      </c>
    </row>
    <row r="8" spans="1:2">
      <c r="A8" s="5" t="s">
        <v>6</v>
      </c>
      <c r="B8" s="9" t="s">
        <v>7</v>
      </c>
    </row>
    <row r="9" spans="1:2">
      <c r="A9" s="6" t="s">
        <v>8</v>
      </c>
      <c r="B9" s="10" t="s">
        <v>9</v>
      </c>
    </row>
    <row r="10" spans="1:2">
      <c r="A10" s="5" t="s">
        <v>10</v>
      </c>
      <c r="B10" s="9" t="s">
        <v>11</v>
      </c>
    </row>
    <row r="11" spans="1:2">
      <c r="A11" s="6" t="s">
        <v>12</v>
      </c>
      <c r="B11" s="10" t="s">
        <v>13</v>
      </c>
    </row>
    <row r="12" spans="1:2">
      <c r="A12" s="5" t="s">
        <v>14</v>
      </c>
      <c r="B12" s="9" t="s">
        <v>15</v>
      </c>
    </row>
    <row r="13" spans="1:2">
      <c r="A13" s="6" t="s">
        <v>16</v>
      </c>
      <c r="B13" s="10" t="s">
        <v>17</v>
      </c>
    </row>
    <row r="14" spans="1:2">
      <c r="A14" s="5" t="s">
        <v>18</v>
      </c>
      <c r="B14" s="9" t="s">
        <v>19</v>
      </c>
    </row>
    <row r="15" spans="1:2">
      <c r="A15" s="6" t="s">
        <v>20</v>
      </c>
      <c r="B15" s="10" t="s">
        <v>21</v>
      </c>
    </row>
    <row r="16" spans="1:2">
      <c r="A16" s="5" t="s">
        <v>22</v>
      </c>
      <c r="B16" s="9" t="s">
        <v>23</v>
      </c>
    </row>
    <row r="17" spans="1:2">
      <c r="A17" s="7" t="s">
        <v>24</v>
      </c>
      <c r="B17" s="11" t="s">
        <v>25</v>
      </c>
    </row>
    <row r="18" spans="1:2">
      <c r="A18" s="1"/>
      <c r="B18" s="1"/>
    </row>
    <row r="19" spans="1:2">
      <c r="A19" s="12" t="s">
        <v>26</v>
      </c>
      <c r="B19" s="1"/>
    </row>
    <row r="20" spans="1:2">
      <c r="A20" s="1"/>
      <c r="B20" s="1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FFDFA-8EFD-46CD-A0D6-06E96A455AB0}">
  <dimension ref="A1:J33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16.7109375" customWidth="1"/>
    <col min="3" max="3" width="13.7109375" customWidth="1"/>
    <col min="4" max="4" width="18.7109375" customWidth="1"/>
    <col min="5" max="5" width="10.7109375" customWidth="1"/>
    <col min="6" max="6" width="13.7109375" customWidth="1"/>
    <col min="7" max="7" width="14.7109375" customWidth="1"/>
    <col min="8" max="8" width="12.7109375" customWidth="1"/>
    <col min="9" max="10" width="11.7109375" customWidth="1"/>
  </cols>
  <sheetData>
    <row r="1" spans="1:10" ht="32.25" customHeight="1">
      <c r="A1" s="14" t="s">
        <v>6</v>
      </c>
      <c r="B1" s="15" t="s">
        <v>8</v>
      </c>
      <c r="C1" s="15" t="s">
        <v>10</v>
      </c>
      <c r="D1" s="15" t="s">
        <v>12</v>
      </c>
      <c r="E1" s="15" t="s">
        <v>14</v>
      </c>
      <c r="F1" s="15" t="s">
        <v>16</v>
      </c>
      <c r="G1" s="15" t="s">
        <v>18</v>
      </c>
      <c r="H1" s="15" t="s">
        <v>20</v>
      </c>
      <c r="I1" s="15" t="s">
        <v>22</v>
      </c>
      <c r="J1" s="15" t="s">
        <v>24</v>
      </c>
    </row>
    <row r="2" spans="1:10">
      <c r="A2" s="19" t="s">
        <v>27</v>
      </c>
      <c r="B2" s="1" t="s">
        <v>28</v>
      </c>
      <c r="C2" s="1" t="s">
        <v>29</v>
      </c>
      <c r="D2" s="1" t="s">
        <v>30</v>
      </c>
      <c r="E2" s="16">
        <v>5172</v>
      </c>
      <c r="F2" s="17">
        <v>439.7</v>
      </c>
      <c r="G2" s="17">
        <v>31</v>
      </c>
      <c r="H2" s="17">
        <v>368.4</v>
      </c>
      <c r="I2" s="18">
        <v>0.374</v>
      </c>
      <c r="J2" s="18">
        <v>8.8999999999999996E-2</v>
      </c>
    </row>
    <row r="3" spans="1:10">
      <c r="A3" s="20" t="s">
        <v>27</v>
      </c>
      <c r="B3" s="3" t="s">
        <v>28</v>
      </c>
      <c r="C3" s="3" t="s">
        <v>29</v>
      </c>
      <c r="D3" s="3" t="s">
        <v>31</v>
      </c>
      <c r="E3" s="21">
        <v>4175</v>
      </c>
      <c r="F3" s="22">
        <v>250.5</v>
      </c>
      <c r="G3" s="22">
        <v>19.8</v>
      </c>
      <c r="H3" s="22">
        <v>258.3</v>
      </c>
      <c r="I3" s="23">
        <v>0.40699999999999997</v>
      </c>
      <c r="J3" s="23">
        <v>7.8E-2</v>
      </c>
    </row>
    <row r="4" spans="1:10">
      <c r="A4" s="19" t="s">
        <v>27</v>
      </c>
      <c r="B4" s="1" t="s">
        <v>28</v>
      </c>
      <c r="C4" s="1" t="s">
        <v>29</v>
      </c>
      <c r="D4" s="1" t="s">
        <v>32</v>
      </c>
      <c r="E4" s="16">
        <v>10472</v>
      </c>
      <c r="F4" s="17">
        <v>261.8</v>
      </c>
      <c r="G4" s="17">
        <v>18.399999999999999</v>
      </c>
      <c r="H4" s="17">
        <v>266</v>
      </c>
      <c r="I4" s="18">
        <v>0.48</v>
      </c>
      <c r="J4" s="18">
        <v>6.0999999999999999E-2</v>
      </c>
    </row>
    <row r="5" spans="1:10">
      <c r="A5" s="20" t="s">
        <v>27</v>
      </c>
      <c r="B5" s="3" t="s">
        <v>28</v>
      </c>
      <c r="C5" s="3" t="s">
        <v>29</v>
      </c>
      <c r="D5" s="3" t="s">
        <v>33</v>
      </c>
      <c r="E5" s="21">
        <v>7400</v>
      </c>
      <c r="F5" s="22">
        <v>111</v>
      </c>
      <c r="G5" s="22">
        <v>5</v>
      </c>
      <c r="H5" s="22">
        <v>114</v>
      </c>
      <c r="I5" s="23">
        <v>0.54700000000000004</v>
      </c>
      <c r="J5" s="23">
        <v>5.8000000000000003E-2</v>
      </c>
    </row>
    <row r="6" spans="1:10">
      <c r="A6" s="19" t="s">
        <v>27</v>
      </c>
      <c r="B6" s="1" t="s">
        <v>28</v>
      </c>
      <c r="C6" s="1" t="s">
        <v>34</v>
      </c>
      <c r="D6" s="1" t="s">
        <v>30</v>
      </c>
      <c r="E6" s="16">
        <v>4838</v>
      </c>
      <c r="F6" s="17">
        <v>411.3</v>
      </c>
      <c r="G6" s="17">
        <v>24.9</v>
      </c>
      <c r="H6" s="17">
        <v>293.2</v>
      </c>
      <c r="I6" s="18">
        <v>0.33300000000000002</v>
      </c>
      <c r="J6" s="18">
        <v>6.7000000000000004E-2</v>
      </c>
    </row>
    <row r="7" spans="1:10">
      <c r="A7" s="20" t="s">
        <v>27</v>
      </c>
      <c r="B7" s="3" t="s">
        <v>28</v>
      </c>
      <c r="C7" s="3" t="s">
        <v>34</v>
      </c>
      <c r="D7" s="3" t="s">
        <v>31</v>
      </c>
      <c r="E7" s="21">
        <v>4908</v>
      </c>
      <c r="F7" s="22">
        <v>294.5</v>
      </c>
      <c r="G7" s="22">
        <v>20.5</v>
      </c>
      <c r="H7" s="22">
        <v>255.5</v>
      </c>
      <c r="I7" s="23">
        <v>0.44600000000000001</v>
      </c>
      <c r="J7" s="23">
        <v>0.05</v>
      </c>
    </row>
    <row r="8" spans="1:10">
      <c r="A8" s="19" t="s">
        <v>27</v>
      </c>
      <c r="B8" s="1" t="s">
        <v>28</v>
      </c>
      <c r="C8" s="1" t="s">
        <v>34</v>
      </c>
      <c r="D8" s="1" t="s">
        <v>32</v>
      </c>
      <c r="E8" s="16">
        <v>8484</v>
      </c>
      <c r="F8" s="17">
        <v>212.1</v>
      </c>
      <c r="G8" s="17">
        <v>14.5</v>
      </c>
      <c r="H8" s="17">
        <v>184</v>
      </c>
      <c r="I8" s="18">
        <v>0.46899999999999997</v>
      </c>
      <c r="J8" s="18">
        <v>7.9000000000000001E-2</v>
      </c>
    </row>
    <row r="9" spans="1:10">
      <c r="A9" s="20" t="s">
        <v>27</v>
      </c>
      <c r="B9" s="3" t="s">
        <v>28</v>
      </c>
      <c r="C9" s="3" t="s">
        <v>34</v>
      </c>
      <c r="D9" s="3" t="s">
        <v>33</v>
      </c>
      <c r="E9" s="21">
        <v>8186</v>
      </c>
      <c r="F9" s="22">
        <v>122.8</v>
      </c>
      <c r="G9" s="22">
        <v>9.6999999999999993</v>
      </c>
      <c r="H9" s="22">
        <v>108.9</v>
      </c>
      <c r="I9" s="23">
        <v>0.56799999999999995</v>
      </c>
      <c r="J9" s="23">
        <v>7.8E-2</v>
      </c>
    </row>
    <row r="10" spans="1:10">
      <c r="A10" s="19" t="s">
        <v>27</v>
      </c>
      <c r="B10" s="1" t="s">
        <v>28</v>
      </c>
      <c r="C10" s="1" t="s">
        <v>35</v>
      </c>
      <c r="D10" s="1" t="s">
        <v>30</v>
      </c>
      <c r="E10" s="16">
        <v>3358</v>
      </c>
      <c r="F10" s="17">
        <v>285.5</v>
      </c>
      <c r="G10" s="17">
        <v>11.7</v>
      </c>
      <c r="H10" s="17">
        <v>242.9</v>
      </c>
      <c r="I10" s="18">
        <v>0.38300000000000001</v>
      </c>
      <c r="J10" s="18">
        <v>8.7999999999999995E-2</v>
      </c>
    </row>
    <row r="11" spans="1:10">
      <c r="A11" s="20" t="s">
        <v>27</v>
      </c>
      <c r="B11" s="3" t="s">
        <v>28</v>
      </c>
      <c r="C11" s="3" t="s">
        <v>35</v>
      </c>
      <c r="D11" s="3" t="s">
        <v>31</v>
      </c>
      <c r="E11" s="21">
        <v>3140</v>
      </c>
      <c r="F11" s="22">
        <v>188.4</v>
      </c>
      <c r="G11" s="22">
        <v>11.9</v>
      </c>
      <c r="H11" s="22">
        <v>199.3</v>
      </c>
      <c r="I11" s="23">
        <v>0.39400000000000002</v>
      </c>
      <c r="J11" s="23">
        <v>6.5000000000000002E-2</v>
      </c>
    </row>
    <row r="12" spans="1:10">
      <c r="A12" s="19" t="s">
        <v>27</v>
      </c>
      <c r="B12" s="1" t="s">
        <v>28</v>
      </c>
      <c r="C12" s="1" t="s">
        <v>35</v>
      </c>
      <c r="D12" s="1" t="s">
        <v>32</v>
      </c>
      <c r="E12" s="16">
        <v>5916</v>
      </c>
      <c r="F12" s="17">
        <v>147.9</v>
      </c>
      <c r="G12" s="17">
        <v>9.6</v>
      </c>
      <c r="H12" s="17">
        <v>157.9</v>
      </c>
      <c r="I12" s="18">
        <v>49.4</v>
      </c>
      <c r="J12" s="18">
        <v>3.9E-2</v>
      </c>
    </row>
    <row r="13" spans="1:10">
      <c r="A13" s="20" t="s">
        <v>27</v>
      </c>
      <c r="B13" s="3" t="s">
        <v>28</v>
      </c>
      <c r="C13" s="3" t="s">
        <v>35</v>
      </c>
      <c r="D13" s="3" t="s">
        <v>36</v>
      </c>
      <c r="E13" s="21">
        <v>4533</v>
      </c>
      <c r="F13" s="22">
        <v>68</v>
      </c>
      <c r="G13" s="22">
        <v>5.3</v>
      </c>
      <c r="H13" s="22">
        <v>68.599999999999994</v>
      </c>
      <c r="I13" s="23">
        <v>0.53500000000000003</v>
      </c>
      <c r="J13" s="23">
        <v>3.1E-2</v>
      </c>
    </row>
    <row r="14" spans="1:10">
      <c r="A14" s="19" t="s">
        <v>27</v>
      </c>
      <c r="B14" s="1" t="s">
        <v>28</v>
      </c>
      <c r="C14" s="1" t="s">
        <v>37</v>
      </c>
      <c r="D14" s="1" t="s">
        <v>30</v>
      </c>
      <c r="E14" s="16">
        <v>2490</v>
      </c>
      <c r="F14" s="17">
        <v>211.7</v>
      </c>
      <c r="G14" s="17">
        <v>14.3</v>
      </c>
      <c r="H14" s="17">
        <v>179.2</v>
      </c>
      <c r="I14" s="18">
        <v>0.39400000000000002</v>
      </c>
      <c r="J14" s="18">
        <v>7.5999999999999998E-2</v>
      </c>
    </row>
    <row r="15" spans="1:10">
      <c r="A15" s="20" t="s">
        <v>27</v>
      </c>
      <c r="B15" s="3" t="s">
        <v>28</v>
      </c>
      <c r="C15" s="3" t="s">
        <v>37</v>
      </c>
      <c r="D15" s="3" t="s">
        <v>31</v>
      </c>
      <c r="E15" s="21">
        <v>2821</v>
      </c>
      <c r="F15" s="22">
        <v>169.3</v>
      </c>
      <c r="G15" s="22">
        <v>11.8</v>
      </c>
      <c r="H15" s="22">
        <v>170.2</v>
      </c>
      <c r="I15" s="23">
        <v>0.39700000000000002</v>
      </c>
      <c r="J15" s="23">
        <v>3.7999999999999999E-2</v>
      </c>
    </row>
    <row r="16" spans="1:10">
      <c r="A16" s="19" t="s">
        <v>27</v>
      </c>
      <c r="B16" s="1" t="s">
        <v>28</v>
      </c>
      <c r="C16" s="1" t="s">
        <v>37</v>
      </c>
      <c r="D16" s="1" t="s">
        <v>32</v>
      </c>
      <c r="E16" s="16">
        <v>4720</v>
      </c>
      <c r="F16" s="17">
        <v>118</v>
      </c>
      <c r="G16" s="17">
        <v>7.8</v>
      </c>
      <c r="H16" s="17">
        <v>123</v>
      </c>
      <c r="I16" s="18">
        <v>0.45400000000000001</v>
      </c>
      <c r="J16" s="18">
        <v>4.9000000000000002E-2</v>
      </c>
    </row>
    <row r="17" spans="1:10">
      <c r="A17" s="20" t="s">
        <v>27</v>
      </c>
      <c r="B17" s="3" t="s">
        <v>28</v>
      </c>
      <c r="C17" s="3" t="s">
        <v>37</v>
      </c>
      <c r="D17" s="3" t="s">
        <v>33</v>
      </c>
      <c r="E17" s="21">
        <v>5186</v>
      </c>
      <c r="F17" s="22">
        <v>77.8</v>
      </c>
      <c r="G17" s="22">
        <v>4.2</v>
      </c>
      <c r="H17" s="22">
        <v>80</v>
      </c>
      <c r="I17" s="23">
        <v>0.56799999999999995</v>
      </c>
      <c r="J17" s="23">
        <v>7.5999999999999998E-2</v>
      </c>
    </row>
    <row r="18" spans="1:10">
      <c r="A18" s="19" t="s">
        <v>27</v>
      </c>
      <c r="B18" s="1" t="s">
        <v>38</v>
      </c>
      <c r="C18" s="1" t="s">
        <v>29</v>
      </c>
      <c r="D18" s="1" t="s">
        <v>30</v>
      </c>
      <c r="E18" s="16">
        <v>3864</v>
      </c>
      <c r="F18" s="17">
        <v>328.5</v>
      </c>
      <c r="G18" s="17">
        <v>22.3</v>
      </c>
      <c r="H18" s="17">
        <v>344.5</v>
      </c>
      <c r="I18" s="18">
        <v>0.34</v>
      </c>
      <c r="J18" s="18">
        <v>4.2000000000000003E-2</v>
      </c>
    </row>
    <row r="19" spans="1:10">
      <c r="A19" s="20" t="s">
        <v>27</v>
      </c>
      <c r="B19" s="3" t="s">
        <v>38</v>
      </c>
      <c r="C19" s="3" t="s">
        <v>29</v>
      </c>
      <c r="D19" s="3" t="s">
        <v>31</v>
      </c>
      <c r="E19" s="21">
        <v>4196</v>
      </c>
      <c r="F19" s="22">
        <v>251.8</v>
      </c>
      <c r="G19" s="22">
        <v>12.3</v>
      </c>
      <c r="H19" s="22">
        <v>271.39999999999998</v>
      </c>
      <c r="I19" s="23">
        <v>0.40300000000000002</v>
      </c>
      <c r="J19" s="23">
        <v>4.8000000000000001E-2</v>
      </c>
    </row>
    <row r="20" spans="1:10">
      <c r="A20" s="19" t="s">
        <v>27</v>
      </c>
      <c r="B20" s="1" t="s">
        <v>38</v>
      </c>
      <c r="C20" s="1" t="s">
        <v>29</v>
      </c>
      <c r="D20" s="1" t="s">
        <v>32</v>
      </c>
      <c r="E20" s="16">
        <v>7388</v>
      </c>
      <c r="F20" s="17">
        <v>184.7</v>
      </c>
      <c r="G20" s="17">
        <v>12.6</v>
      </c>
      <c r="H20" s="17">
        <v>189.4</v>
      </c>
      <c r="I20" s="18">
        <v>0.51500000000000001</v>
      </c>
      <c r="J20" s="18">
        <v>5.0999999999999997E-2</v>
      </c>
    </row>
    <row r="21" spans="1:10">
      <c r="A21" s="20" t="s">
        <v>27</v>
      </c>
      <c r="B21" s="3" t="s">
        <v>38</v>
      </c>
      <c r="C21" s="3" t="s">
        <v>29</v>
      </c>
      <c r="D21" s="3" t="s">
        <v>36</v>
      </c>
      <c r="E21" s="21">
        <v>8160</v>
      </c>
      <c r="F21" s="22">
        <v>122.4</v>
      </c>
      <c r="G21" s="22">
        <v>6.2</v>
      </c>
      <c r="H21" s="22">
        <v>123.6</v>
      </c>
      <c r="I21" s="23">
        <v>0.54</v>
      </c>
      <c r="J21" s="23">
        <v>7.0999999999999994E-2</v>
      </c>
    </row>
    <row r="22" spans="1:10">
      <c r="A22" s="19" t="s">
        <v>27</v>
      </c>
      <c r="B22" s="1" t="s">
        <v>38</v>
      </c>
      <c r="C22" s="1" t="s">
        <v>34</v>
      </c>
      <c r="D22" s="1" t="s">
        <v>30</v>
      </c>
      <c r="E22" s="16">
        <v>3847</v>
      </c>
      <c r="F22" s="17">
        <v>327</v>
      </c>
      <c r="G22" s="17">
        <v>23.8</v>
      </c>
      <c r="H22" s="17">
        <v>298.3</v>
      </c>
      <c r="I22" s="18">
        <v>0.34300000000000003</v>
      </c>
      <c r="J22" s="18">
        <v>7.8E-2</v>
      </c>
    </row>
    <row r="23" spans="1:10">
      <c r="A23" s="20" t="s">
        <v>27</v>
      </c>
      <c r="B23" s="3" t="s">
        <v>38</v>
      </c>
      <c r="C23" s="3" t="s">
        <v>34</v>
      </c>
      <c r="D23" s="3" t="s">
        <v>31</v>
      </c>
      <c r="E23" s="21">
        <v>3505</v>
      </c>
      <c r="F23" s="22">
        <v>210.3</v>
      </c>
      <c r="G23" s="22">
        <v>14.4</v>
      </c>
      <c r="H23" s="22">
        <v>183.2</v>
      </c>
      <c r="I23" s="23">
        <v>0.40100000000000002</v>
      </c>
      <c r="J23" s="23">
        <v>5.7000000000000002E-2</v>
      </c>
    </row>
    <row r="24" spans="1:10">
      <c r="A24" s="19" t="s">
        <v>27</v>
      </c>
      <c r="B24" s="1" t="s">
        <v>38</v>
      </c>
      <c r="C24" s="1" t="s">
        <v>34</v>
      </c>
      <c r="D24" s="1" t="s">
        <v>32</v>
      </c>
      <c r="E24" s="16">
        <v>7304</v>
      </c>
      <c r="F24" s="17">
        <v>182.6</v>
      </c>
      <c r="G24" s="17">
        <v>8.8000000000000007</v>
      </c>
      <c r="H24" s="17">
        <v>161.4</v>
      </c>
      <c r="I24" s="18">
        <v>0.496</v>
      </c>
      <c r="J24" s="18">
        <v>8.5999999999999993E-2</v>
      </c>
    </row>
    <row r="25" spans="1:10">
      <c r="A25" s="20" t="s">
        <v>27</v>
      </c>
      <c r="B25" s="3" t="s">
        <v>38</v>
      </c>
      <c r="C25" s="3" t="s">
        <v>34</v>
      </c>
      <c r="D25" s="3" t="s">
        <v>33</v>
      </c>
      <c r="E25" s="21">
        <v>6066</v>
      </c>
      <c r="F25" s="22">
        <v>91</v>
      </c>
      <c r="G25" s="22">
        <v>5.9</v>
      </c>
      <c r="H25" s="22">
        <v>80.7</v>
      </c>
      <c r="I25" s="23">
        <v>0.56399999999999995</v>
      </c>
      <c r="J25" s="23">
        <v>4.4999999999999998E-2</v>
      </c>
    </row>
    <row r="26" spans="1:10">
      <c r="A26" s="19" t="s">
        <v>27</v>
      </c>
      <c r="B26" s="1" t="s">
        <v>38</v>
      </c>
      <c r="C26" s="1" t="s">
        <v>35</v>
      </c>
      <c r="D26" s="1" t="s">
        <v>39</v>
      </c>
      <c r="E26" s="16">
        <v>2301</v>
      </c>
      <c r="F26" s="17">
        <v>195.6</v>
      </c>
      <c r="G26" s="17">
        <v>12.8</v>
      </c>
      <c r="H26" s="17">
        <v>196.4</v>
      </c>
      <c r="I26" s="18">
        <v>0.377</v>
      </c>
      <c r="J26" s="18">
        <v>5.5E-2</v>
      </c>
    </row>
    <row r="27" spans="1:10">
      <c r="A27" s="20" t="s">
        <v>27</v>
      </c>
      <c r="B27" s="3" t="s">
        <v>38</v>
      </c>
      <c r="C27" s="3" t="s">
        <v>35</v>
      </c>
      <c r="D27" s="3" t="s">
        <v>31</v>
      </c>
      <c r="E27" s="21">
        <v>2233</v>
      </c>
      <c r="F27" s="22">
        <v>134</v>
      </c>
      <c r="G27" s="22">
        <v>9.5</v>
      </c>
      <c r="H27" s="22">
        <v>134.1</v>
      </c>
      <c r="I27" s="23">
        <v>0.45400000000000001</v>
      </c>
      <c r="J27" s="23">
        <v>6.3E-2</v>
      </c>
    </row>
    <row r="28" spans="1:10">
      <c r="A28" s="19" t="s">
        <v>27</v>
      </c>
      <c r="B28" s="1" t="s">
        <v>38</v>
      </c>
      <c r="C28" s="1" t="s">
        <v>35</v>
      </c>
      <c r="D28" s="1" t="s">
        <v>32</v>
      </c>
      <c r="E28" s="16">
        <v>4844</v>
      </c>
      <c r="F28" s="17">
        <v>121.1</v>
      </c>
      <c r="G28" s="17">
        <v>9.4</v>
      </c>
      <c r="H28" s="17">
        <v>129.6</v>
      </c>
      <c r="I28" s="18">
        <v>0.45600000000000002</v>
      </c>
      <c r="J28" s="18">
        <v>5.8999999999999997E-2</v>
      </c>
    </row>
    <row r="29" spans="1:10">
      <c r="A29" s="20" t="s">
        <v>27</v>
      </c>
      <c r="B29" s="3" t="s">
        <v>38</v>
      </c>
      <c r="C29" s="3" t="s">
        <v>35</v>
      </c>
      <c r="D29" s="3" t="s">
        <v>33</v>
      </c>
      <c r="E29" s="21">
        <v>5253</v>
      </c>
      <c r="F29" s="22">
        <v>78.8</v>
      </c>
      <c r="G29" s="22">
        <v>4.2</v>
      </c>
      <c r="H29" s="22">
        <v>82.9</v>
      </c>
      <c r="I29" s="23">
        <v>0.51700000000000002</v>
      </c>
      <c r="J29" s="23">
        <v>8.4000000000000005E-2</v>
      </c>
    </row>
    <row r="30" spans="1:10">
      <c r="A30" s="19" t="s">
        <v>27</v>
      </c>
      <c r="B30" s="1" t="s">
        <v>38</v>
      </c>
      <c r="C30" s="1" t="s">
        <v>37</v>
      </c>
      <c r="D30" s="1" t="s">
        <v>30</v>
      </c>
      <c r="E30" s="16">
        <v>2040</v>
      </c>
      <c r="F30" s="17">
        <v>173.4</v>
      </c>
      <c r="G30" s="17">
        <v>10.6</v>
      </c>
      <c r="H30" s="17">
        <v>183.4</v>
      </c>
      <c r="I30" s="18">
        <v>0.39300000000000002</v>
      </c>
      <c r="J30" s="18">
        <v>8.5999999999999993E-2</v>
      </c>
    </row>
    <row r="31" spans="1:10">
      <c r="A31" s="20" t="s">
        <v>27</v>
      </c>
      <c r="B31" s="3" t="s">
        <v>38</v>
      </c>
      <c r="C31" s="3" t="s">
        <v>37</v>
      </c>
      <c r="D31" s="3" t="s">
        <v>31</v>
      </c>
      <c r="E31" s="21">
        <v>2005</v>
      </c>
      <c r="F31" s="22">
        <v>120.3</v>
      </c>
      <c r="G31" s="22">
        <v>9.1</v>
      </c>
      <c r="H31" s="22">
        <v>121.9</v>
      </c>
      <c r="I31" s="23">
        <v>0.46</v>
      </c>
      <c r="J31" s="23">
        <v>8.5000000000000006E-2</v>
      </c>
    </row>
    <row r="32" spans="1:10">
      <c r="A32" s="19" t="s">
        <v>27</v>
      </c>
      <c r="B32" s="1" t="s">
        <v>38</v>
      </c>
      <c r="C32" s="1" t="s">
        <v>37</v>
      </c>
      <c r="D32" s="1" t="s">
        <v>32</v>
      </c>
      <c r="E32" s="16">
        <v>4224</v>
      </c>
      <c r="F32" s="17">
        <v>105.6</v>
      </c>
      <c r="G32" s="17">
        <v>6.3</v>
      </c>
      <c r="H32" s="17">
        <v>113.6</v>
      </c>
      <c r="I32" s="18">
        <v>0.51400000000000001</v>
      </c>
      <c r="J32" s="18">
        <v>8.7999999999999995E-2</v>
      </c>
    </row>
    <row r="33" spans="1:10">
      <c r="A33" s="20" t="s">
        <v>27</v>
      </c>
      <c r="B33" s="3" t="s">
        <v>38</v>
      </c>
      <c r="C33" s="3" t="s">
        <v>37</v>
      </c>
      <c r="D33" s="3" t="s">
        <v>33</v>
      </c>
      <c r="E33" s="21">
        <v>4493</v>
      </c>
      <c r="F33" s="22">
        <v>67.400000000000006</v>
      </c>
      <c r="G33" s="22">
        <v>2.7</v>
      </c>
      <c r="H33" s="22">
        <v>70.5</v>
      </c>
      <c r="I33" s="23">
        <v>0.58899999999999997</v>
      </c>
      <c r="J33" s="23">
        <v>3.5999999999999997E-2</v>
      </c>
    </row>
    <row r="34" spans="1:10">
      <c r="A34" s="19" t="s">
        <v>27</v>
      </c>
      <c r="B34" s="1" t="s">
        <v>40</v>
      </c>
      <c r="C34" s="1" t="s">
        <v>29</v>
      </c>
      <c r="D34" s="1" t="s">
        <v>30</v>
      </c>
      <c r="E34" s="16">
        <v>2723</v>
      </c>
      <c r="F34" s="17">
        <v>231.5</v>
      </c>
      <c r="G34" s="17">
        <v>18.399999999999999</v>
      </c>
      <c r="H34" s="17">
        <v>241.5</v>
      </c>
      <c r="I34" s="18">
        <v>0.39500000000000002</v>
      </c>
      <c r="J34" s="18">
        <v>0.06</v>
      </c>
    </row>
    <row r="35" spans="1:10">
      <c r="A35" s="20" t="s">
        <v>27</v>
      </c>
      <c r="B35" s="3" t="s">
        <v>40</v>
      </c>
      <c r="C35" s="3" t="s">
        <v>29</v>
      </c>
      <c r="D35" s="3" t="s">
        <v>31</v>
      </c>
      <c r="E35" s="21">
        <v>3581</v>
      </c>
      <c r="F35" s="22">
        <v>214.9</v>
      </c>
      <c r="G35" s="22">
        <v>12.6</v>
      </c>
      <c r="H35" s="22">
        <v>218.2</v>
      </c>
      <c r="I35" s="23">
        <v>0.39300000000000002</v>
      </c>
      <c r="J35" s="23">
        <v>3.6999999999999998E-2</v>
      </c>
    </row>
    <row r="36" spans="1:10">
      <c r="A36" s="19" t="s">
        <v>27</v>
      </c>
      <c r="B36" s="1" t="s">
        <v>40</v>
      </c>
      <c r="C36" s="1" t="s">
        <v>29</v>
      </c>
      <c r="D36" s="1" t="s">
        <v>32</v>
      </c>
      <c r="E36" s="16">
        <v>6284</v>
      </c>
      <c r="F36" s="17">
        <v>157.1</v>
      </c>
      <c r="G36" s="17">
        <v>7.9</v>
      </c>
      <c r="H36" s="17">
        <v>159.5</v>
      </c>
      <c r="I36" s="18">
        <v>0.503</v>
      </c>
      <c r="J36" s="18">
        <v>7.3999999999999996E-2</v>
      </c>
    </row>
    <row r="37" spans="1:10">
      <c r="A37" s="20" t="s">
        <v>27</v>
      </c>
      <c r="B37" s="3" t="s">
        <v>40</v>
      </c>
      <c r="C37" s="3" t="s">
        <v>29</v>
      </c>
      <c r="D37" s="3" t="s">
        <v>33</v>
      </c>
      <c r="E37" s="21">
        <v>6013</v>
      </c>
      <c r="F37" s="22">
        <v>90.2</v>
      </c>
      <c r="G37" s="22">
        <v>6.3</v>
      </c>
      <c r="H37" s="22">
        <v>91.4</v>
      </c>
      <c r="I37" s="23">
        <v>0.58199999999999996</v>
      </c>
      <c r="J37" s="23">
        <v>8.1000000000000003E-2</v>
      </c>
    </row>
    <row r="38" spans="1:10">
      <c r="A38" s="19" t="s">
        <v>27</v>
      </c>
      <c r="B38" s="1" t="s">
        <v>40</v>
      </c>
      <c r="C38" s="1" t="s">
        <v>34</v>
      </c>
      <c r="D38" s="1" t="s">
        <v>30</v>
      </c>
      <c r="E38" s="16">
        <v>2901</v>
      </c>
      <c r="F38" s="17">
        <v>246.6</v>
      </c>
      <c r="G38" s="17">
        <v>14.9</v>
      </c>
      <c r="H38" s="17">
        <v>210.5</v>
      </c>
      <c r="I38" s="18">
        <v>0.33500000000000002</v>
      </c>
      <c r="J38" s="18">
        <v>7.0000000000000007E-2</v>
      </c>
    </row>
    <row r="39" spans="1:10">
      <c r="A39" s="20" t="s">
        <v>27</v>
      </c>
      <c r="B39" s="3" t="s">
        <v>40</v>
      </c>
      <c r="C39" s="3" t="s">
        <v>34</v>
      </c>
      <c r="D39" s="3" t="s">
        <v>31</v>
      </c>
      <c r="E39" s="21">
        <v>2623</v>
      </c>
      <c r="F39" s="22">
        <v>157.4</v>
      </c>
      <c r="G39" s="22">
        <v>8.3000000000000007</v>
      </c>
      <c r="H39" s="22">
        <v>136.1</v>
      </c>
      <c r="I39" s="23">
        <v>0.39900000000000002</v>
      </c>
      <c r="J39" s="23">
        <v>4.5999999999999999E-2</v>
      </c>
    </row>
    <row r="40" spans="1:10">
      <c r="A40" s="19" t="s">
        <v>27</v>
      </c>
      <c r="B40" s="1" t="s">
        <v>40</v>
      </c>
      <c r="C40" s="1" t="s">
        <v>34</v>
      </c>
      <c r="D40" s="1" t="s">
        <v>32</v>
      </c>
      <c r="E40" s="16">
        <v>6216</v>
      </c>
      <c r="F40" s="17">
        <v>155.4</v>
      </c>
      <c r="G40" s="17">
        <v>12.1</v>
      </c>
      <c r="H40" s="17">
        <v>134.9</v>
      </c>
      <c r="I40" s="18">
        <v>0.441</v>
      </c>
      <c r="J40" s="18">
        <v>7.2999999999999995E-2</v>
      </c>
    </row>
    <row r="41" spans="1:10">
      <c r="A41" s="20" t="s">
        <v>27</v>
      </c>
      <c r="B41" s="3" t="s">
        <v>40</v>
      </c>
      <c r="C41" s="3" t="s">
        <v>34</v>
      </c>
      <c r="D41" s="3" t="s">
        <v>33</v>
      </c>
      <c r="E41" s="21">
        <v>5593</v>
      </c>
      <c r="F41" s="22">
        <v>83.9</v>
      </c>
      <c r="G41" s="22">
        <v>5.7</v>
      </c>
      <c r="H41" s="22">
        <v>71.5</v>
      </c>
      <c r="I41" s="23">
        <v>0.53500000000000003</v>
      </c>
      <c r="J41" s="23">
        <v>3.6999999999999998E-2</v>
      </c>
    </row>
    <row r="42" spans="1:10">
      <c r="A42" s="19" t="s">
        <v>27</v>
      </c>
      <c r="B42" s="1" t="s">
        <v>40</v>
      </c>
      <c r="C42" s="1" t="s">
        <v>35</v>
      </c>
      <c r="D42" s="1" t="s">
        <v>30</v>
      </c>
      <c r="E42" s="16">
        <v>1741</v>
      </c>
      <c r="F42" s="17">
        <v>148</v>
      </c>
      <c r="G42" s="17">
        <v>8.9</v>
      </c>
      <c r="H42" s="17">
        <v>158.5</v>
      </c>
      <c r="I42" s="18">
        <v>0.34499999999999997</v>
      </c>
      <c r="J42" s="18">
        <v>7.1999999999999995E-2</v>
      </c>
    </row>
    <row r="43" spans="1:10">
      <c r="A43" s="20" t="s">
        <v>27</v>
      </c>
      <c r="B43" s="3" t="s">
        <v>40</v>
      </c>
      <c r="C43" s="3" t="s">
        <v>35</v>
      </c>
      <c r="D43" s="3" t="s">
        <v>31</v>
      </c>
      <c r="E43" s="21">
        <v>1765</v>
      </c>
      <c r="F43" s="22">
        <v>105.9</v>
      </c>
      <c r="G43" s="22">
        <v>8.1</v>
      </c>
      <c r="H43" s="22">
        <v>108.4</v>
      </c>
      <c r="I43" s="23">
        <v>0.39800000000000002</v>
      </c>
      <c r="J43" s="23">
        <v>6.7000000000000004E-2</v>
      </c>
    </row>
    <row r="44" spans="1:10">
      <c r="A44" s="19" t="s">
        <v>27</v>
      </c>
      <c r="B44" s="1" t="s">
        <v>40</v>
      </c>
      <c r="C44" s="1" t="s">
        <v>35</v>
      </c>
      <c r="D44" s="1" t="s">
        <v>32</v>
      </c>
      <c r="E44" s="16">
        <v>3484</v>
      </c>
      <c r="F44" s="17">
        <v>87.1</v>
      </c>
      <c r="G44" s="17">
        <v>4</v>
      </c>
      <c r="H44" s="17">
        <v>92.3</v>
      </c>
      <c r="I44" s="18">
        <v>0.47299999999999998</v>
      </c>
      <c r="J44" s="18">
        <v>6.6000000000000003E-2</v>
      </c>
    </row>
    <row r="45" spans="1:10">
      <c r="A45" s="20" t="s">
        <v>27</v>
      </c>
      <c r="B45" s="3" t="s">
        <v>40</v>
      </c>
      <c r="C45" s="3" t="s">
        <v>35</v>
      </c>
      <c r="D45" s="3" t="s">
        <v>33</v>
      </c>
      <c r="E45" s="21">
        <v>3680</v>
      </c>
      <c r="F45" s="22">
        <v>55.2</v>
      </c>
      <c r="G45" s="22">
        <v>3.2</v>
      </c>
      <c r="H45" s="22">
        <v>57.6</v>
      </c>
      <c r="I45" s="23">
        <v>0.52700000000000002</v>
      </c>
      <c r="J45" s="23">
        <v>7.0000000000000007E-2</v>
      </c>
    </row>
    <row r="46" spans="1:10">
      <c r="A46" s="19" t="s">
        <v>27</v>
      </c>
      <c r="B46" s="1" t="s">
        <v>40</v>
      </c>
      <c r="C46" s="1" t="s">
        <v>37</v>
      </c>
      <c r="D46" s="1" t="s">
        <v>30</v>
      </c>
      <c r="E46" s="16">
        <v>1448</v>
      </c>
      <c r="F46" s="17">
        <v>123.1</v>
      </c>
      <c r="G46" s="17">
        <v>8.6</v>
      </c>
      <c r="H46" s="17">
        <v>131.69999999999999</v>
      </c>
      <c r="I46" s="18">
        <v>0.35599999999999998</v>
      </c>
      <c r="J46" s="18">
        <v>3.5000000000000003E-2</v>
      </c>
    </row>
    <row r="47" spans="1:10">
      <c r="A47" s="20" t="s">
        <v>27</v>
      </c>
      <c r="B47" s="3" t="s">
        <v>40</v>
      </c>
      <c r="C47" s="3" t="s">
        <v>37</v>
      </c>
      <c r="D47" s="3" t="s">
        <v>31</v>
      </c>
      <c r="E47" s="21">
        <v>1851</v>
      </c>
      <c r="F47" s="22">
        <v>111.1</v>
      </c>
      <c r="G47" s="22">
        <v>4.8</v>
      </c>
      <c r="H47" s="22">
        <v>116.1</v>
      </c>
      <c r="I47" s="23">
        <v>0.42399999999999999</v>
      </c>
      <c r="J47" s="23">
        <v>3.4000000000000002E-2</v>
      </c>
    </row>
    <row r="48" spans="1:10">
      <c r="A48" s="19" t="s">
        <v>27</v>
      </c>
      <c r="B48" s="1" t="s">
        <v>40</v>
      </c>
      <c r="C48" s="1" t="s">
        <v>37</v>
      </c>
      <c r="D48" s="1" t="s">
        <v>32</v>
      </c>
      <c r="E48" s="16">
        <v>3432</v>
      </c>
      <c r="F48" s="17">
        <v>85.8</v>
      </c>
      <c r="G48" s="17">
        <v>5.4</v>
      </c>
      <c r="H48" s="17">
        <v>86.8</v>
      </c>
      <c r="I48" s="18">
        <v>0.48199999999999998</v>
      </c>
      <c r="J48" s="18">
        <v>0.05</v>
      </c>
    </row>
    <row r="49" spans="1:10">
      <c r="A49" s="20" t="s">
        <v>27</v>
      </c>
      <c r="B49" s="3" t="s">
        <v>40</v>
      </c>
      <c r="C49" s="3" t="s">
        <v>37</v>
      </c>
      <c r="D49" s="3" t="s">
        <v>33</v>
      </c>
      <c r="E49" s="21">
        <v>2806</v>
      </c>
      <c r="F49" s="22">
        <v>42.1</v>
      </c>
      <c r="G49" s="22">
        <v>2</v>
      </c>
      <c r="H49" s="22">
        <v>44.1</v>
      </c>
      <c r="I49" s="23">
        <v>0.55100000000000005</v>
      </c>
      <c r="J49" s="23">
        <v>3.5000000000000003E-2</v>
      </c>
    </row>
    <row r="50" spans="1:10">
      <c r="A50" s="19" t="s">
        <v>27</v>
      </c>
      <c r="B50" s="1" t="s">
        <v>41</v>
      </c>
      <c r="C50" s="1" t="s">
        <v>29</v>
      </c>
      <c r="D50" s="1" t="s">
        <v>30</v>
      </c>
      <c r="E50" s="16">
        <v>2029</v>
      </c>
      <c r="F50" s="17">
        <v>172.5</v>
      </c>
      <c r="G50" s="17">
        <v>18.100000000000001</v>
      </c>
      <c r="H50" s="17">
        <v>230.3</v>
      </c>
      <c r="I50" s="18">
        <v>0.32500000000000001</v>
      </c>
      <c r="J50" s="18">
        <v>0.11700000000000001</v>
      </c>
    </row>
    <row r="51" spans="1:10">
      <c r="A51" s="20" t="s">
        <v>27</v>
      </c>
      <c r="B51" s="3" t="s">
        <v>41</v>
      </c>
      <c r="C51" s="3" t="s">
        <v>29</v>
      </c>
      <c r="D51" s="3" t="s">
        <v>31</v>
      </c>
      <c r="E51" s="21">
        <v>2045</v>
      </c>
      <c r="F51" s="22">
        <v>122.7</v>
      </c>
      <c r="G51" s="22">
        <v>16</v>
      </c>
      <c r="H51" s="22">
        <v>166.4</v>
      </c>
      <c r="I51" s="23">
        <v>0.44500000000000001</v>
      </c>
      <c r="J51" s="23">
        <v>0.114</v>
      </c>
    </row>
    <row r="52" spans="1:10">
      <c r="A52" s="19" t="s">
        <v>27</v>
      </c>
      <c r="B52" s="1" t="s">
        <v>41</v>
      </c>
      <c r="C52" s="1" t="s">
        <v>29</v>
      </c>
      <c r="D52" s="1" t="s">
        <v>32</v>
      </c>
      <c r="E52" s="16">
        <v>4360</v>
      </c>
      <c r="F52" s="17">
        <v>109</v>
      </c>
      <c r="G52" s="17">
        <v>12.4</v>
      </c>
      <c r="H52" s="17">
        <v>140.30000000000001</v>
      </c>
      <c r="I52" s="18">
        <v>0.44500000000000001</v>
      </c>
      <c r="J52" s="18">
        <v>0.111</v>
      </c>
    </row>
    <row r="53" spans="1:10">
      <c r="A53" s="20" t="s">
        <v>27</v>
      </c>
      <c r="B53" s="3" t="s">
        <v>41</v>
      </c>
      <c r="C53" s="3" t="s">
        <v>29</v>
      </c>
      <c r="D53" s="3" t="s">
        <v>33</v>
      </c>
      <c r="E53" s="21">
        <v>4320</v>
      </c>
      <c r="F53" s="22">
        <v>64.8</v>
      </c>
      <c r="G53" s="22">
        <v>9</v>
      </c>
      <c r="H53" s="22">
        <v>83.5</v>
      </c>
      <c r="I53" s="23">
        <v>0.51300000000000001</v>
      </c>
      <c r="J53" s="23">
        <v>0.14599999999999999</v>
      </c>
    </row>
    <row r="54" spans="1:10">
      <c r="A54" s="19" t="s">
        <v>27</v>
      </c>
      <c r="B54" s="1" t="s">
        <v>41</v>
      </c>
      <c r="C54" s="1" t="s">
        <v>34</v>
      </c>
      <c r="D54" s="1" t="s">
        <v>30</v>
      </c>
      <c r="E54" s="16">
        <v>2102</v>
      </c>
      <c r="F54" s="17">
        <v>178.7</v>
      </c>
      <c r="G54" s="17">
        <v>12.6</v>
      </c>
      <c r="H54" s="17">
        <v>160.80000000000001</v>
      </c>
      <c r="I54" s="18">
        <v>0.372</v>
      </c>
      <c r="J54" s="18">
        <v>8.8999999999999996E-2</v>
      </c>
    </row>
    <row r="55" spans="1:10">
      <c r="A55" s="20" t="s">
        <v>27</v>
      </c>
      <c r="B55" s="3" t="s">
        <v>41</v>
      </c>
      <c r="C55" s="3" t="s">
        <v>34</v>
      </c>
      <c r="D55" s="3" t="s">
        <v>31</v>
      </c>
      <c r="E55" s="21">
        <v>2348</v>
      </c>
      <c r="F55" s="22">
        <v>140.9</v>
      </c>
      <c r="G55" s="22">
        <v>11.2</v>
      </c>
      <c r="H55" s="22">
        <v>123.1</v>
      </c>
      <c r="I55" s="23">
        <v>0.45300000000000001</v>
      </c>
      <c r="J55" s="23">
        <v>8.2000000000000003E-2</v>
      </c>
    </row>
    <row r="56" spans="1:10">
      <c r="A56" s="19" t="s">
        <v>27</v>
      </c>
      <c r="B56" s="1" t="s">
        <v>41</v>
      </c>
      <c r="C56" s="1" t="s">
        <v>34</v>
      </c>
      <c r="D56" s="1" t="s">
        <v>32</v>
      </c>
      <c r="E56" s="16">
        <v>4548</v>
      </c>
      <c r="F56" s="17">
        <v>113.7</v>
      </c>
      <c r="G56" s="17">
        <v>7.7</v>
      </c>
      <c r="H56" s="17">
        <v>101.5</v>
      </c>
      <c r="I56" s="18">
        <v>0.49199999999999999</v>
      </c>
      <c r="J56" s="18">
        <v>6.2E-2</v>
      </c>
    </row>
    <row r="57" spans="1:10">
      <c r="A57" s="20" t="s">
        <v>27</v>
      </c>
      <c r="B57" s="3" t="s">
        <v>41</v>
      </c>
      <c r="C57" s="3" t="s">
        <v>34</v>
      </c>
      <c r="D57" s="3" t="s">
        <v>33</v>
      </c>
      <c r="E57" s="21">
        <v>4173</v>
      </c>
      <c r="F57" s="22">
        <v>62.6</v>
      </c>
      <c r="G57" s="22">
        <v>3</v>
      </c>
      <c r="H57" s="22">
        <v>55.4</v>
      </c>
      <c r="I57" s="23">
        <v>56.8</v>
      </c>
      <c r="J57" s="23">
        <v>6.2E-2</v>
      </c>
    </row>
    <row r="58" spans="1:10">
      <c r="A58" s="19" t="s">
        <v>27</v>
      </c>
      <c r="B58" s="1" t="s">
        <v>41</v>
      </c>
      <c r="C58" s="1" t="s">
        <v>35</v>
      </c>
      <c r="D58" s="1" t="s">
        <v>30</v>
      </c>
      <c r="E58" s="16">
        <v>1343</v>
      </c>
      <c r="F58" s="17">
        <v>114.2</v>
      </c>
      <c r="G58" s="17">
        <v>4.5999999999999996</v>
      </c>
      <c r="H58" s="17">
        <v>114.4</v>
      </c>
      <c r="I58" s="18">
        <v>0.374</v>
      </c>
      <c r="J58" s="18">
        <v>4.8000000000000001E-2</v>
      </c>
    </row>
    <row r="59" spans="1:10">
      <c r="A59" s="20" t="s">
        <v>27</v>
      </c>
      <c r="B59" s="3" t="s">
        <v>41</v>
      </c>
      <c r="C59" s="3" t="s">
        <v>35</v>
      </c>
      <c r="D59" s="3" t="s">
        <v>31</v>
      </c>
      <c r="E59" s="21">
        <v>1653</v>
      </c>
      <c r="F59" s="22">
        <v>99.2</v>
      </c>
      <c r="G59" s="22">
        <v>6.1</v>
      </c>
      <c r="H59" s="22">
        <v>105.7</v>
      </c>
      <c r="I59" s="23">
        <v>0.40799999999999997</v>
      </c>
      <c r="J59" s="23">
        <v>4.4999999999999998E-2</v>
      </c>
    </row>
    <row r="60" spans="1:10">
      <c r="A60" s="19" t="s">
        <v>27</v>
      </c>
      <c r="B60" s="1" t="s">
        <v>41</v>
      </c>
      <c r="C60" s="1" t="s">
        <v>35</v>
      </c>
      <c r="D60" s="1" t="s">
        <v>32</v>
      </c>
      <c r="E60" s="16">
        <v>2988</v>
      </c>
      <c r="F60" s="17">
        <v>74.7</v>
      </c>
      <c r="G60" s="17">
        <v>5.8</v>
      </c>
      <c r="H60" s="17">
        <v>79</v>
      </c>
      <c r="I60" s="18">
        <v>0.505</v>
      </c>
      <c r="J60" s="18">
        <v>3.6999999999999998E-2</v>
      </c>
    </row>
    <row r="61" spans="1:10">
      <c r="A61" s="20" t="s">
        <v>27</v>
      </c>
      <c r="B61" s="3" t="s">
        <v>41</v>
      </c>
      <c r="C61" s="3" t="s">
        <v>35</v>
      </c>
      <c r="D61" s="3" t="s">
        <v>33</v>
      </c>
      <c r="E61" s="21">
        <v>2893</v>
      </c>
      <c r="F61" s="22"/>
      <c r="G61" s="22">
        <v>3.1</v>
      </c>
      <c r="H61" s="22">
        <v>46.5</v>
      </c>
      <c r="I61" s="23">
        <v>0.52600000000000002</v>
      </c>
      <c r="J61" s="23">
        <v>3.1E-2</v>
      </c>
    </row>
    <row r="62" spans="1:10">
      <c r="A62" s="19" t="s">
        <v>27</v>
      </c>
      <c r="B62" s="1" t="s">
        <v>41</v>
      </c>
      <c r="C62" s="1" t="s">
        <v>37</v>
      </c>
      <c r="D62" s="1" t="s">
        <v>30</v>
      </c>
      <c r="E62" s="16">
        <v>1129</v>
      </c>
      <c r="F62" s="17">
        <v>96</v>
      </c>
      <c r="G62" s="17">
        <v>4</v>
      </c>
      <c r="H62" s="17">
        <v>100.6</v>
      </c>
      <c r="I62" s="18">
        <v>0.32400000000000001</v>
      </c>
      <c r="J62" s="18">
        <v>7.1999999999999995E-2</v>
      </c>
    </row>
    <row r="63" spans="1:10">
      <c r="A63" s="20" t="s">
        <v>27</v>
      </c>
      <c r="B63" s="3" t="s">
        <v>41</v>
      </c>
      <c r="C63" s="3" t="s">
        <v>37</v>
      </c>
      <c r="D63" s="3" t="s">
        <v>31</v>
      </c>
      <c r="E63" s="21">
        <v>1530</v>
      </c>
      <c r="F63" s="22">
        <v>91.8</v>
      </c>
      <c r="G63" s="22">
        <v>5.0999999999999996</v>
      </c>
      <c r="H63" s="22">
        <v>93.6</v>
      </c>
      <c r="I63" s="23">
        <v>0.44900000000000001</v>
      </c>
      <c r="J63" s="23">
        <v>4.2999999999999997E-2</v>
      </c>
    </row>
    <row r="64" spans="1:10">
      <c r="A64" s="19" t="s">
        <v>27</v>
      </c>
      <c r="B64" s="1" t="s">
        <v>41</v>
      </c>
      <c r="C64" s="1" t="s">
        <v>37</v>
      </c>
      <c r="D64" s="1" t="s">
        <v>32</v>
      </c>
      <c r="E64" s="16">
        <v>2432</v>
      </c>
      <c r="F64" s="17">
        <v>60.8</v>
      </c>
      <c r="G64" s="17">
        <v>3.7</v>
      </c>
      <c r="H64" s="17">
        <v>62.2</v>
      </c>
      <c r="I64" s="18">
        <v>0.499</v>
      </c>
      <c r="J64" s="18">
        <v>7.9000000000000001E-2</v>
      </c>
    </row>
    <row r="65" spans="1:10">
      <c r="A65" s="20" t="s">
        <v>27</v>
      </c>
      <c r="B65" s="3" t="s">
        <v>41</v>
      </c>
      <c r="C65" s="3" t="s">
        <v>37</v>
      </c>
      <c r="D65" s="3" t="s">
        <v>42</v>
      </c>
      <c r="E65" s="21">
        <v>2453</v>
      </c>
      <c r="F65" s="22">
        <v>36.799999999999997</v>
      </c>
      <c r="G65" s="22">
        <v>2.4</v>
      </c>
      <c r="H65" s="22">
        <v>38.799999999999997</v>
      </c>
      <c r="I65" s="23">
        <v>0.53400000000000003</v>
      </c>
      <c r="J65" s="23">
        <v>4.9000000000000002E-2</v>
      </c>
    </row>
    <row r="66" spans="1:10">
      <c r="A66" s="19" t="s">
        <v>27</v>
      </c>
      <c r="B66" s="1" t="s">
        <v>43</v>
      </c>
      <c r="C66" s="1" t="s">
        <v>29</v>
      </c>
      <c r="D66" s="1" t="s">
        <v>30</v>
      </c>
      <c r="E66" s="16">
        <v>3071</v>
      </c>
      <c r="F66" s="17">
        <v>261.10000000000002</v>
      </c>
      <c r="G66" s="17">
        <v>17.3</v>
      </c>
      <c r="H66" s="17">
        <v>265.8</v>
      </c>
      <c r="I66" s="18">
        <v>0.32500000000000001</v>
      </c>
      <c r="J66" s="18">
        <v>4.8000000000000001E-2</v>
      </c>
    </row>
    <row r="67" spans="1:10">
      <c r="A67" s="20" t="s">
        <v>27</v>
      </c>
      <c r="B67" s="3" t="s">
        <v>43</v>
      </c>
      <c r="C67" s="3" t="s">
        <v>29</v>
      </c>
      <c r="D67" s="3" t="s">
        <v>31</v>
      </c>
      <c r="E67" s="21">
        <v>4345</v>
      </c>
      <c r="F67" s="22">
        <v>260.7</v>
      </c>
      <c r="G67" s="22">
        <v>19.600000000000001</v>
      </c>
      <c r="H67" s="22">
        <v>279.7</v>
      </c>
      <c r="I67" s="23">
        <v>0.41399999999999998</v>
      </c>
      <c r="J67" s="23">
        <v>6.8000000000000005E-2</v>
      </c>
    </row>
    <row r="68" spans="1:10">
      <c r="A68" s="19" t="s">
        <v>27</v>
      </c>
      <c r="B68" s="1" t="s">
        <v>43</v>
      </c>
      <c r="C68" s="1" t="s">
        <v>29</v>
      </c>
      <c r="D68" s="1" t="s">
        <v>32</v>
      </c>
      <c r="E68" s="16">
        <v>7508</v>
      </c>
      <c r="F68" s="17">
        <v>187.7</v>
      </c>
      <c r="G68" s="17">
        <v>14.8</v>
      </c>
      <c r="H68" s="17">
        <v>201.9</v>
      </c>
      <c r="I68" s="18">
        <v>0.503</v>
      </c>
      <c r="J68" s="18">
        <v>7.0000000000000007E-2</v>
      </c>
    </row>
    <row r="69" spans="1:10">
      <c r="A69" s="20" t="s">
        <v>27</v>
      </c>
      <c r="B69" s="3" t="s">
        <v>43</v>
      </c>
      <c r="C69" s="3" t="s">
        <v>29</v>
      </c>
      <c r="D69" s="3" t="s">
        <v>33</v>
      </c>
      <c r="E69" s="21">
        <v>6586</v>
      </c>
      <c r="F69" s="22">
        <v>98.8</v>
      </c>
      <c r="G69" s="22">
        <v>5.6</v>
      </c>
      <c r="H69" s="22">
        <v>99.9</v>
      </c>
      <c r="I69" s="23">
        <v>0.56999999999999995</v>
      </c>
      <c r="J69" s="23">
        <v>5.2999999999999999E-2</v>
      </c>
    </row>
    <row r="70" spans="1:10">
      <c r="A70" s="19" t="s">
        <v>27</v>
      </c>
      <c r="B70" s="1" t="s">
        <v>43</v>
      </c>
      <c r="C70" s="1" t="s">
        <v>34</v>
      </c>
      <c r="D70" s="1" t="s">
        <v>30</v>
      </c>
      <c r="E70" s="16">
        <v>3097</v>
      </c>
      <c r="F70" s="17">
        <v>263.3</v>
      </c>
      <c r="G70" s="17">
        <v>19.5</v>
      </c>
      <c r="H70" s="17">
        <v>228.5</v>
      </c>
      <c r="I70" s="18">
        <v>0.38400000000000001</v>
      </c>
      <c r="J70" s="18">
        <v>7.1999999999999995E-2</v>
      </c>
    </row>
    <row r="71" spans="1:10">
      <c r="A71" s="20" t="s">
        <v>27</v>
      </c>
      <c r="B71" s="3" t="s">
        <v>43</v>
      </c>
      <c r="C71" s="3" t="s">
        <v>34</v>
      </c>
      <c r="D71" s="3" t="s">
        <v>31</v>
      </c>
      <c r="E71" s="21">
        <v>3908</v>
      </c>
      <c r="F71" s="22">
        <v>234.5</v>
      </c>
      <c r="G71" s="22">
        <v>14.7</v>
      </c>
      <c r="H71" s="22">
        <v>214.1</v>
      </c>
      <c r="I71" s="23">
        <v>0.39100000000000001</v>
      </c>
      <c r="J71" s="23">
        <v>6.3E-2</v>
      </c>
    </row>
    <row r="72" spans="1:10">
      <c r="A72" s="19" t="s">
        <v>27</v>
      </c>
      <c r="B72" s="1" t="s">
        <v>43</v>
      </c>
      <c r="C72" s="1" t="s">
        <v>34</v>
      </c>
      <c r="D72" s="1" t="s">
        <v>32</v>
      </c>
      <c r="E72" s="16">
        <v>6300</v>
      </c>
      <c r="F72" s="17">
        <v>157.5</v>
      </c>
      <c r="G72" s="17">
        <v>7.6</v>
      </c>
      <c r="H72" s="17">
        <v>140.4</v>
      </c>
      <c r="I72" s="18">
        <v>0.50800000000000001</v>
      </c>
      <c r="J72" s="18">
        <v>8.5000000000000006E-2</v>
      </c>
    </row>
    <row r="73" spans="1:10">
      <c r="A73" s="20" t="s">
        <v>27</v>
      </c>
      <c r="B73" s="3" t="s">
        <v>43</v>
      </c>
      <c r="C73" s="3" t="s">
        <v>34</v>
      </c>
      <c r="D73" s="3" t="s">
        <v>33</v>
      </c>
      <c r="E73" s="21">
        <v>5546</v>
      </c>
      <c r="F73" s="22">
        <v>83.2</v>
      </c>
      <c r="G73" s="22">
        <v>5.7</v>
      </c>
      <c r="H73" s="22">
        <v>71.599999999999994</v>
      </c>
      <c r="I73" s="23">
        <v>0.56399999999999995</v>
      </c>
      <c r="J73" s="23">
        <v>4.5999999999999999E-2</v>
      </c>
    </row>
    <row r="74" spans="1:10">
      <c r="A74" s="19" t="s">
        <v>27</v>
      </c>
      <c r="B74" s="1" t="s">
        <v>43</v>
      </c>
      <c r="C74" s="1" t="s">
        <v>35</v>
      </c>
      <c r="D74" s="1" t="s">
        <v>30</v>
      </c>
      <c r="E74" s="16">
        <v>1832</v>
      </c>
      <c r="F74" s="17">
        <v>155.80000000000001</v>
      </c>
      <c r="G74" s="17">
        <v>11.7</v>
      </c>
      <c r="H74" s="17">
        <v>188.3</v>
      </c>
      <c r="I74" s="18">
        <v>0.378</v>
      </c>
      <c r="J74" s="18">
        <v>0.13600000000000001</v>
      </c>
    </row>
    <row r="75" spans="1:10">
      <c r="A75" s="20" t="s">
        <v>27</v>
      </c>
      <c r="B75" s="3" t="s">
        <v>43</v>
      </c>
      <c r="C75" s="3" t="s">
        <v>35</v>
      </c>
      <c r="D75" s="3" t="s">
        <v>31</v>
      </c>
      <c r="E75" s="21">
        <v>2015</v>
      </c>
      <c r="F75" s="22">
        <v>120.9</v>
      </c>
      <c r="G75" s="22">
        <v>7.2</v>
      </c>
      <c r="H75" s="22">
        <v>153.9</v>
      </c>
      <c r="I75" s="23">
        <v>0.45700000000000002</v>
      </c>
      <c r="J75" s="23">
        <v>0.11</v>
      </c>
    </row>
    <row r="76" spans="1:10">
      <c r="A76" s="19" t="s">
        <v>27</v>
      </c>
      <c r="B76" s="1" t="s">
        <v>43</v>
      </c>
      <c r="C76" s="1" t="s">
        <v>35</v>
      </c>
      <c r="D76" s="1" t="s">
        <v>32</v>
      </c>
      <c r="E76" s="16">
        <v>3320</v>
      </c>
      <c r="F76" s="17">
        <v>83</v>
      </c>
      <c r="G76" s="17">
        <v>6.4</v>
      </c>
      <c r="H76" s="17">
        <v>106.5</v>
      </c>
      <c r="I76" s="18">
        <v>0.52</v>
      </c>
      <c r="J76" s="18">
        <v>9.7000000000000003E-2</v>
      </c>
    </row>
    <row r="77" spans="1:10">
      <c r="A77" s="20" t="s">
        <v>27</v>
      </c>
      <c r="B77" s="3" t="s">
        <v>43</v>
      </c>
      <c r="C77" s="3" t="s">
        <v>35</v>
      </c>
      <c r="D77" s="3" t="s">
        <v>33</v>
      </c>
      <c r="E77" s="21">
        <v>3573</v>
      </c>
      <c r="F77" s="22">
        <v>53.6</v>
      </c>
      <c r="G77" s="22">
        <v>2.7</v>
      </c>
      <c r="H77" s="22">
        <v>67</v>
      </c>
      <c r="I77" s="23">
        <v>0.58299999999999996</v>
      </c>
      <c r="J77" s="23">
        <v>0.10199999999999999</v>
      </c>
    </row>
    <row r="78" spans="1:10">
      <c r="A78" s="19" t="s">
        <v>27</v>
      </c>
      <c r="B78" s="1" t="s">
        <v>43</v>
      </c>
      <c r="C78" s="1" t="s">
        <v>37</v>
      </c>
      <c r="D78" s="1" t="s">
        <v>30</v>
      </c>
      <c r="E78" s="16">
        <v>1881</v>
      </c>
      <c r="F78" s="17">
        <v>159.9</v>
      </c>
      <c r="G78" s="17">
        <v>11.4</v>
      </c>
      <c r="H78" s="17">
        <v>164.8</v>
      </c>
      <c r="I78" s="18">
        <v>0.34899999999999998</v>
      </c>
      <c r="J78" s="18">
        <v>6.2E-2</v>
      </c>
    </row>
    <row r="79" spans="1:10">
      <c r="A79" s="20" t="s">
        <v>27</v>
      </c>
      <c r="B79" s="3" t="s">
        <v>43</v>
      </c>
      <c r="C79" s="3" t="s">
        <v>37</v>
      </c>
      <c r="D79" s="3" t="s">
        <v>31</v>
      </c>
      <c r="E79" s="21">
        <v>1915</v>
      </c>
      <c r="F79" s="22">
        <v>114.9</v>
      </c>
      <c r="G79" s="22">
        <v>7</v>
      </c>
      <c r="H79" s="22">
        <v>119.4</v>
      </c>
      <c r="I79" s="23">
        <v>0.45900000000000002</v>
      </c>
      <c r="J79" s="23">
        <v>3.5999999999999997E-2</v>
      </c>
    </row>
    <row r="80" spans="1:10">
      <c r="A80" s="19" t="s">
        <v>27</v>
      </c>
      <c r="B80" s="1" t="s">
        <v>43</v>
      </c>
      <c r="C80" s="1" t="s">
        <v>37</v>
      </c>
      <c r="D80" s="1" t="s">
        <v>32</v>
      </c>
      <c r="E80" s="16">
        <v>4012</v>
      </c>
      <c r="F80" s="17">
        <v>100.3</v>
      </c>
      <c r="G80" s="17">
        <v>7.4</v>
      </c>
      <c r="H80" s="17">
        <v>107.6</v>
      </c>
      <c r="I80" s="18">
        <v>0.47299999999999998</v>
      </c>
      <c r="J80" s="18">
        <v>5.1999999999999998E-2</v>
      </c>
    </row>
    <row r="81" spans="1:10">
      <c r="A81" s="20" t="s">
        <v>27</v>
      </c>
      <c r="B81" s="3" t="s">
        <v>43</v>
      </c>
      <c r="C81" s="3" t="s">
        <v>37</v>
      </c>
      <c r="D81" s="3" t="s">
        <v>33</v>
      </c>
      <c r="E81" s="21">
        <v>3820</v>
      </c>
      <c r="F81" s="22">
        <v>57.3</v>
      </c>
      <c r="G81" s="22">
        <v>2.8</v>
      </c>
      <c r="H81" s="22">
        <v>58</v>
      </c>
      <c r="I81" s="23">
        <v>0.58499999999999996</v>
      </c>
      <c r="J81" s="23">
        <v>4.5999999999999999E-2</v>
      </c>
    </row>
    <row r="82" spans="1:10">
      <c r="A82" s="19" t="s">
        <v>27</v>
      </c>
      <c r="B82" s="1" t="s">
        <v>44</v>
      </c>
      <c r="C82" s="1" t="s">
        <v>29</v>
      </c>
      <c r="D82" s="1" t="s">
        <v>30</v>
      </c>
      <c r="E82" s="16">
        <v>1625</v>
      </c>
      <c r="F82" s="17">
        <v>138.19999999999999</v>
      </c>
      <c r="G82" s="17">
        <v>7.8</v>
      </c>
      <c r="H82" s="17">
        <v>139.9</v>
      </c>
      <c r="I82" s="18">
        <v>0.35</v>
      </c>
      <c r="J82" s="18">
        <v>0.05</v>
      </c>
    </row>
    <row r="83" spans="1:10">
      <c r="A83" s="20" t="s">
        <v>27</v>
      </c>
      <c r="B83" s="3" t="s">
        <v>44</v>
      </c>
      <c r="C83" s="3" t="s">
        <v>29</v>
      </c>
      <c r="D83" s="3" t="s">
        <v>31</v>
      </c>
      <c r="E83" s="21">
        <v>1945</v>
      </c>
      <c r="F83" s="22">
        <v>116.7</v>
      </c>
      <c r="G83" s="22">
        <v>7</v>
      </c>
      <c r="H83" s="22">
        <v>122.8</v>
      </c>
      <c r="I83" s="23">
        <v>0.40100000000000002</v>
      </c>
      <c r="J83" s="23">
        <v>7.0999999999999994E-2</v>
      </c>
    </row>
    <row r="84" spans="1:10">
      <c r="A84" s="19" t="s">
        <v>27</v>
      </c>
      <c r="B84" s="1" t="s">
        <v>44</v>
      </c>
      <c r="C84" s="1" t="s">
        <v>29</v>
      </c>
      <c r="D84" s="1" t="s">
        <v>32</v>
      </c>
      <c r="E84" s="16">
        <v>3804</v>
      </c>
      <c r="F84" s="17">
        <v>95.1</v>
      </c>
      <c r="G84" s="17">
        <v>7.5</v>
      </c>
      <c r="H84" s="17">
        <v>100</v>
      </c>
      <c r="I84" s="18">
        <v>0.45300000000000001</v>
      </c>
      <c r="J84" s="18">
        <v>5.8999999999999997E-2</v>
      </c>
    </row>
    <row r="85" spans="1:10">
      <c r="A85" s="20" t="s">
        <v>27</v>
      </c>
      <c r="B85" s="3" t="s">
        <v>44</v>
      </c>
      <c r="C85" s="3" t="s">
        <v>29</v>
      </c>
      <c r="D85" s="3" t="s">
        <v>33</v>
      </c>
      <c r="E85" s="21">
        <v>3500</v>
      </c>
      <c r="F85" s="22">
        <v>52.5</v>
      </c>
      <c r="G85" s="22">
        <v>2.5</v>
      </c>
      <c r="H85" s="22">
        <v>55.5</v>
      </c>
      <c r="I85" s="23">
        <v>0.58299999999999996</v>
      </c>
      <c r="J85" s="23">
        <v>5.8999999999999997E-2</v>
      </c>
    </row>
    <row r="86" spans="1:10">
      <c r="A86" s="19" t="s">
        <v>27</v>
      </c>
      <c r="B86" s="1" t="s">
        <v>44</v>
      </c>
      <c r="C86" s="1" t="s">
        <v>34</v>
      </c>
      <c r="D86" s="1" t="s">
        <v>30</v>
      </c>
      <c r="E86" s="16">
        <v>1460</v>
      </c>
      <c r="F86" s="17">
        <v>124.1</v>
      </c>
      <c r="G86" s="17">
        <v>8.1</v>
      </c>
      <c r="H86" s="17">
        <v>105.6</v>
      </c>
      <c r="I86" s="18">
        <v>0.38800000000000001</v>
      </c>
      <c r="J86" s="18">
        <v>3.2000000000000001E-2</v>
      </c>
    </row>
    <row r="87" spans="1:10">
      <c r="A87" s="20" t="s">
        <v>27</v>
      </c>
      <c r="B87" s="3" t="s">
        <v>44</v>
      </c>
      <c r="C87" s="3" t="s">
        <v>34</v>
      </c>
      <c r="D87" s="3" t="s">
        <v>31</v>
      </c>
      <c r="E87" s="21">
        <v>1818</v>
      </c>
      <c r="F87" s="22">
        <v>109.1</v>
      </c>
      <c r="G87" s="22">
        <v>7.3</v>
      </c>
      <c r="H87" s="22">
        <v>98.1</v>
      </c>
      <c r="I87" s="23">
        <v>0.44700000000000001</v>
      </c>
      <c r="J87" s="23">
        <v>5.5E-2</v>
      </c>
    </row>
    <row r="88" spans="1:10">
      <c r="A88" s="19" t="s">
        <v>27</v>
      </c>
      <c r="B88" s="1" t="s">
        <v>44</v>
      </c>
      <c r="C88" s="1" t="s">
        <v>34</v>
      </c>
      <c r="D88" s="1" t="s">
        <v>45</v>
      </c>
      <c r="E88" s="16">
        <v>2896</v>
      </c>
      <c r="F88" s="17">
        <v>72.400000000000006</v>
      </c>
      <c r="G88" s="17">
        <v>4.9000000000000004</v>
      </c>
      <c r="H88" s="17">
        <v>61.4</v>
      </c>
      <c r="I88" s="18">
        <v>0.47</v>
      </c>
      <c r="J88" s="18">
        <v>0.06</v>
      </c>
    </row>
    <row r="89" spans="1:10">
      <c r="A89" s="20" t="s">
        <v>27</v>
      </c>
      <c r="B89" s="3" t="s">
        <v>44</v>
      </c>
      <c r="C89" s="3" t="s">
        <v>34</v>
      </c>
      <c r="D89" s="3" t="s">
        <v>33</v>
      </c>
      <c r="E89" s="21">
        <v>3020</v>
      </c>
      <c r="F89" s="22">
        <v>45.3</v>
      </c>
      <c r="G89" s="22">
        <v>3</v>
      </c>
      <c r="H89" s="22">
        <v>40.299999999999997</v>
      </c>
      <c r="I89" s="23">
        <v>0.54900000000000004</v>
      </c>
      <c r="J89" s="23">
        <v>5.8999999999999997E-2</v>
      </c>
    </row>
    <row r="90" spans="1:10">
      <c r="A90" s="19" t="s">
        <v>27</v>
      </c>
      <c r="B90" s="1" t="s">
        <v>44</v>
      </c>
      <c r="C90" s="1" t="s">
        <v>35</v>
      </c>
      <c r="D90" s="1" t="s">
        <v>30</v>
      </c>
      <c r="E90" s="16">
        <v>832</v>
      </c>
      <c r="F90" s="17">
        <v>70.8</v>
      </c>
      <c r="G90" s="17">
        <v>4.4000000000000004</v>
      </c>
      <c r="H90" s="17">
        <v>70.8</v>
      </c>
      <c r="I90" s="18">
        <v>0.34200000000000003</v>
      </c>
      <c r="J90" s="18">
        <v>6.2E-2</v>
      </c>
    </row>
    <row r="91" spans="1:10">
      <c r="A91" s="20" t="s">
        <v>27</v>
      </c>
      <c r="B91" s="3" t="s">
        <v>44</v>
      </c>
      <c r="C91" s="3" t="s">
        <v>35</v>
      </c>
      <c r="D91" s="3" t="s">
        <v>31</v>
      </c>
      <c r="E91" s="21">
        <v>1243</v>
      </c>
      <c r="F91" s="22">
        <v>74.599999999999994</v>
      </c>
      <c r="G91" s="22">
        <v>3</v>
      </c>
      <c r="H91" s="22">
        <v>79.5</v>
      </c>
      <c r="I91" s="23">
        <v>0.44400000000000001</v>
      </c>
      <c r="J91" s="23">
        <v>7.0000000000000007E-2</v>
      </c>
    </row>
    <row r="92" spans="1:10">
      <c r="A92" s="19" t="s">
        <v>27</v>
      </c>
      <c r="B92" s="1" t="s">
        <v>44</v>
      </c>
      <c r="C92" s="1" t="s">
        <v>35</v>
      </c>
      <c r="D92" s="1" t="s">
        <v>32</v>
      </c>
      <c r="E92" s="16">
        <v>2400</v>
      </c>
      <c r="F92" s="17">
        <v>60</v>
      </c>
      <c r="G92" s="17">
        <v>2.7</v>
      </c>
      <c r="H92" s="17">
        <v>60.4</v>
      </c>
      <c r="I92" s="18">
        <v>0.45500000000000002</v>
      </c>
      <c r="J92" s="18">
        <v>3.9E-2</v>
      </c>
    </row>
    <row r="93" spans="1:10">
      <c r="A93" s="20" t="s">
        <v>27</v>
      </c>
      <c r="B93" s="3" t="s">
        <v>44</v>
      </c>
      <c r="C93" s="3" t="s">
        <v>35</v>
      </c>
      <c r="D93" s="3" t="s">
        <v>33</v>
      </c>
      <c r="E93" s="21">
        <v>1993</v>
      </c>
      <c r="F93" s="22">
        <v>29.9</v>
      </c>
      <c r="G93" s="22">
        <v>2.2000000000000002</v>
      </c>
      <c r="H93" s="22">
        <v>30.5</v>
      </c>
      <c r="I93" s="23">
        <v>0.54</v>
      </c>
      <c r="J93" s="23">
        <v>5.3999999999999999E-2</v>
      </c>
    </row>
    <row r="94" spans="1:10">
      <c r="A94" s="19" t="s">
        <v>27</v>
      </c>
      <c r="B94" s="1" t="s">
        <v>44</v>
      </c>
      <c r="C94" s="1" t="s">
        <v>37</v>
      </c>
      <c r="D94" s="1" t="s">
        <v>30</v>
      </c>
      <c r="E94" s="16">
        <v>830</v>
      </c>
      <c r="F94" s="17">
        <v>70.599999999999994</v>
      </c>
      <c r="G94" s="17">
        <v>4.4000000000000004</v>
      </c>
      <c r="H94" s="17">
        <v>76.2</v>
      </c>
      <c r="I94" s="18">
        <v>0.375</v>
      </c>
      <c r="J94" s="18">
        <v>4.3999999999999997E-2</v>
      </c>
    </row>
    <row r="95" spans="1:10">
      <c r="A95" s="20" t="s">
        <v>27</v>
      </c>
      <c r="B95" s="3" t="s">
        <v>44</v>
      </c>
      <c r="C95" s="3" t="s">
        <v>37</v>
      </c>
      <c r="D95" s="3" t="s">
        <v>31</v>
      </c>
      <c r="E95" s="21">
        <v>1051</v>
      </c>
      <c r="F95" s="22">
        <v>63.1</v>
      </c>
      <c r="G95" s="22">
        <v>4.2</v>
      </c>
      <c r="H95" s="22">
        <v>67.400000000000006</v>
      </c>
      <c r="I95" s="23">
        <v>0.38700000000000001</v>
      </c>
      <c r="J95" s="23">
        <v>7.5999999999999998E-2</v>
      </c>
    </row>
    <row r="96" spans="1:10">
      <c r="A96" s="19" t="s">
        <v>27</v>
      </c>
      <c r="B96" s="1" t="s">
        <v>44</v>
      </c>
      <c r="C96" s="1" t="s">
        <v>37</v>
      </c>
      <c r="D96" s="1" t="s">
        <v>32</v>
      </c>
      <c r="E96" s="16">
        <v>1800</v>
      </c>
      <c r="F96" s="17">
        <v>45</v>
      </c>
      <c r="G96" s="17">
        <v>2.8</v>
      </c>
      <c r="H96" s="17">
        <v>45.2</v>
      </c>
      <c r="I96" s="18">
        <v>0.45400000000000001</v>
      </c>
      <c r="J96" s="18">
        <v>3.1E-2</v>
      </c>
    </row>
    <row r="97" spans="1:10">
      <c r="A97" s="20" t="s">
        <v>27</v>
      </c>
      <c r="B97" s="3" t="s">
        <v>44</v>
      </c>
      <c r="C97" s="3" t="s">
        <v>37</v>
      </c>
      <c r="D97" s="3" t="s">
        <v>33</v>
      </c>
      <c r="E97" s="21">
        <v>1733</v>
      </c>
      <c r="F97" s="22">
        <v>26</v>
      </c>
      <c r="G97" s="22">
        <v>1.5</v>
      </c>
      <c r="H97" s="22">
        <v>27.6</v>
      </c>
      <c r="I97" s="23">
        <v>0.57899999999999996</v>
      </c>
      <c r="J97" s="23">
        <v>6.4000000000000001E-2</v>
      </c>
    </row>
    <row r="98" spans="1:10">
      <c r="A98" s="19" t="s">
        <v>27</v>
      </c>
      <c r="B98" s="1" t="s">
        <v>46</v>
      </c>
      <c r="C98" s="1" t="s">
        <v>29</v>
      </c>
      <c r="D98" s="1" t="s">
        <v>30</v>
      </c>
      <c r="E98" s="16">
        <v>1302</v>
      </c>
      <c r="F98" s="17">
        <v>110.7</v>
      </c>
      <c r="G98" s="17">
        <v>6.8</v>
      </c>
      <c r="H98" s="17">
        <v>99.2</v>
      </c>
      <c r="I98" s="18">
        <v>0.38900000000000001</v>
      </c>
      <c r="J98" s="18">
        <v>4.2999999999999997E-2</v>
      </c>
    </row>
    <row r="99" spans="1:10">
      <c r="A99" s="20" t="s">
        <v>27</v>
      </c>
      <c r="B99" s="3" t="s">
        <v>46</v>
      </c>
      <c r="C99" s="3" t="s">
        <v>29</v>
      </c>
      <c r="D99" s="3" t="s">
        <v>31</v>
      </c>
      <c r="E99" s="21">
        <v>1841</v>
      </c>
      <c r="F99" s="22">
        <v>110.5</v>
      </c>
      <c r="G99" s="22">
        <v>6.5</v>
      </c>
      <c r="H99" s="22">
        <v>99</v>
      </c>
      <c r="I99" s="23">
        <v>0.45400000000000001</v>
      </c>
      <c r="J99" s="23">
        <v>3.4000000000000002E-2</v>
      </c>
    </row>
    <row r="100" spans="1:10">
      <c r="A100" s="19" t="s">
        <v>27</v>
      </c>
      <c r="B100" s="1" t="s">
        <v>46</v>
      </c>
      <c r="C100" s="1" t="s">
        <v>29</v>
      </c>
      <c r="D100" s="1" t="s">
        <v>32</v>
      </c>
      <c r="E100" s="16">
        <v>3628</v>
      </c>
      <c r="F100" s="17">
        <v>90.7</v>
      </c>
      <c r="G100" s="17">
        <v>5.7</v>
      </c>
      <c r="H100" s="17">
        <v>81.2</v>
      </c>
      <c r="I100" s="18">
        <v>0.46500000000000002</v>
      </c>
      <c r="J100" s="18">
        <v>8.5999999999999993E-2</v>
      </c>
    </row>
    <row r="101" spans="1:10">
      <c r="A101" s="20" t="s">
        <v>27</v>
      </c>
      <c r="B101" s="3" t="s">
        <v>46</v>
      </c>
      <c r="C101" s="3" t="s">
        <v>29</v>
      </c>
      <c r="D101" s="3" t="s">
        <v>33</v>
      </c>
      <c r="E101" s="21">
        <v>3413</v>
      </c>
      <c r="F101" s="22">
        <v>51.2</v>
      </c>
      <c r="G101" s="22">
        <v>3.3</v>
      </c>
      <c r="H101" s="22">
        <v>48.5</v>
      </c>
      <c r="I101" s="23">
        <v>0.54200000000000004</v>
      </c>
      <c r="J101" s="23">
        <v>7.2999999999999995E-2</v>
      </c>
    </row>
    <row r="102" spans="1:10">
      <c r="A102" s="19" t="s">
        <v>27</v>
      </c>
      <c r="B102" s="1" t="s">
        <v>46</v>
      </c>
      <c r="C102" s="1" t="s">
        <v>34</v>
      </c>
      <c r="D102" s="1" t="s">
        <v>30</v>
      </c>
      <c r="E102" s="16">
        <v>1174</v>
      </c>
      <c r="F102" s="17">
        <v>99.8</v>
      </c>
      <c r="G102" s="17">
        <v>4.5999999999999996</v>
      </c>
      <c r="H102" s="17">
        <v>77</v>
      </c>
      <c r="I102" s="18">
        <v>0.35099999999999998</v>
      </c>
      <c r="J102" s="18">
        <v>0.08</v>
      </c>
    </row>
    <row r="103" spans="1:10">
      <c r="A103" s="20" t="s">
        <v>27</v>
      </c>
      <c r="B103" s="3" t="s">
        <v>46</v>
      </c>
      <c r="C103" s="3" t="s">
        <v>34</v>
      </c>
      <c r="D103" s="3" t="s">
        <v>31</v>
      </c>
      <c r="E103" s="21">
        <v>1675</v>
      </c>
      <c r="F103" s="22">
        <v>100.5</v>
      </c>
      <c r="G103" s="22">
        <v>5.4</v>
      </c>
      <c r="H103" s="22">
        <v>80.7</v>
      </c>
      <c r="I103" s="23">
        <v>0.45900000000000002</v>
      </c>
      <c r="J103" s="23">
        <v>3.7999999999999999E-2</v>
      </c>
    </row>
    <row r="104" spans="1:10">
      <c r="A104" s="19" t="s">
        <v>27</v>
      </c>
      <c r="B104" s="1" t="s">
        <v>46</v>
      </c>
      <c r="C104" s="1" t="s">
        <v>34</v>
      </c>
      <c r="D104" s="1" t="s">
        <v>32</v>
      </c>
      <c r="E104" s="16">
        <v>3140</v>
      </c>
      <c r="F104" s="17">
        <v>78.5</v>
      </c>
      <c r="G104" s="17">
        <v>4.7</v>
      </c>
      <c r="H104" s="17">
        <v>64</v>
      </c>
      <c r="I104" s="18">
        <v>0.47499999999999998</v>
      </c>
      <c r="J104" s="18">
        <v>3.3000000000000002E-2</v>
      </c>
    </row>
    <row r="105" spans="1:10">
      <c r="A105" s="20" t="s">
        <v>27</v>
      </c>
      <c r="B105" s="3" t="s">
        <v>46</v>
      </c>
      <c r="C105" s="3" t="s">
        <v>34</v>
      </c>
      <c r="D105" s="3" t="s">
        <v>33</v>
      </c>
      <c r="E105" s="21">
        <v>3000</v>
      </c>
      <c r="F105" s="22">
        <v>45</v>
      </c>
      <c r="G105" s="22">
        <v>2.4</v>
      </c>
      <c r="H105" s="22">
        <v>36.1</v>
      </c>
      <c r="I105" s="23">
        <v>0.54200000000000004</v>
      </c>
      <c r="J105" s="23">
        <v>8.6999999999999994E-2</v>
      </c>
    </row>
    <row r="106" spans="1:10">
      <c r="A106" s="19" t="s">
        <v>27</v>
      </c>
      <c r="B106" s="1" t="s">
        <v>46</v>
      </c>
      <c r="C106" s="1" t="s">
        <v>35</v>
      </c>
      <c r="D106" s="1" t="s">
        <v>30</v>
      </c>
      <c r="E106" s="16">
        <v>987</v>
      </c>
      <c r="F106" s="17">
        <v>83.9</v>
      </c>
      <c r="G106" s="17">
        <v>3.5</v>
      </c>
      <c r="H106" s="17">
        <v>76.5</v>
      </c>
      <c r="I106" s="18">
        <v>0.35899999999999999</v>
      </c>
      <c r="J106" s="18">
        <v>0.09</v>
      </c>
    </row>
    <row r="107" spans="1:10">
      <c r="A107" s="20" t="s">
        <v>27</v>
      </c>
      <c r="B107" s="3" t="s">
        <v>46</v>
      </c>
      <c r="C107" s="3" t="s">
        <v>35</v>
      </c>
      <c r="D107" s="3" t="s">
        <v>31</v>
      </c>
      <c r="E107" s="21">
        <v>971</v>
      </c>
      <c r="F107" s="22">
        <v>58.3</v>
      </c>
      <c r="G107" s="22">
        <v>4.5</v>
      </c>
      <c r="H107" s="22">
        <v>53.8</v>
      </c>
      <c r="I107" s="23">
        <v>0.433</v>
      </c>
      <c r="J107" s="23">
        <v>7.0999999999999994E-2</v>
      </c>
    </row>
    <row r="108" spans="1:10">
      <c r="A108" s="19" t="s">
        <v>27</v>
      </c>
      <c r="B108" s="1" t="s">
        <v>46</v>
      </c>
      <c r="C108" s="1" t="s">
        <v>35</v>
      </c>
      <c r="D108" s="1" t="s">
        <v>32</v>
      </c>
      <c r="E108" s="16">
        <v>1744</v>
      </c>
      <c r="F108" s="17">
        <v>43.6</v>
      </c>
      <c r="G108" s="17">
        <v>2.8</v>
      </c>
      <c r="H108" s="17">
        <v>41.5</v>
      </c>
      <c r="I108" s="18">
        <v>0.44700000000000001</v>
      </c>
      <c r="J108" s="18">
        <v>7.2999999999999995E-2</v>
      </c>
    </row>
    <row r="109" spans="1:10">
      <c r="A109" s="20" t="s">
        <v>27</v>
      </c>
      <c r="B109" s="3" t="s">
        <v>46</v>
      </c>
      <c r="C109" s="3" t="s">
        <v>35</v>
      </c>
      <c r="D109" s="3" t="s">
        <v>33</v>
      </c>
      <c r="E109" s="21">
        <v>1653</v>
      </c>
      <c r="F109" s="22">
        <v>24.8</v>
      </c>
      <c r="G109" s="22">
        <v>1.7</v>
      </c>
      <c r="H109" s="22">
        <v>23.3</v>
      </c>
      <c r="I109" s="23">
        <v>0.53500000000000003</v>
      </c>
      <c r="J109" s="23">
        <v>7.3999999999999996E-2</v>
      </c>
    </row>
    <row r="110" spans="1:10">
      <c r="A110" s="19" t="s">
        <v>27</v>
      </c>
      <c r="B110" s="1" t="s">
        <v>46</v>
      </c>
      <c r="C110" s="1" t="s">
        <v>37</v>
      </c>
      <c r="D110" s="1" t="s">
        <v>30</v>
      </c>
      <c r="E110" s="16">
        <v>703</v>
      </c>
      <c r="F110" s="17">
        <v>59.8</v>
      </c>
      <c r="G110" s="17">
        <v>2.4</v>
      </c>
      <c r="H110" s="17">
        <v>54.7</v>
      </c>
      <c r="I110" s="18">
        <v>0.34200000000000003</v>
      </c>
      <c r="J110" s="18">
        <v>5.1999999999999998E-2</v>
      </c>
    </row>
    <row r="111" spans="1:10">
      <c r="A111" s="20" t="s">
        <v>27</v>
      </c>
      <c r="B111" s="3" t="s">
        <v>46</v>
      </c>
      <c r="C111" s="3" t="s">
        <v>37</v>
      </c>
      <c r="D111" s="3" t="s">
        <v>31</v>
      </c>
      <c r="E111" s="21">
        <v>790</v>
      </c>
      <c r="F111" s="22">
        <v>47.4</v>
      </c>
      <c r="G111" s="22">
        <v>2.2999999999999998</v>
      </c>
      <c r="H111" s="22">
        <v>43.9</v>
      </c>
      <c r="I111" s="23">
        <v>0.41299999999999998</v>
      </c>
      <c r="J111" s="23">
        <v>6.3E-2</v>
      </c>
    </row>
    <row r="112" spans="1:10">
      <c r="A112" s="19" t="s">
        <v>27</v>
      </c>
      <c r="B112" s="1" t="s">
        <v>46</v>
      </c>
      <c r="C112" s="1" t="s">
        <v>37</v>
      </c>
      <c r="D112" s="1" t="s">
        <v>32</v>
      </c>
      <c r="E112" s="16">
        <v>1496</v>
      </c>
      <c r="F112" s="17">
        <v>37.4</v>
      </c>
      <c r="G112" s="17">
        <v>2</v>
      </c>
      <c r="H112" s="17">
        <v>33.6</v>
      </c>
      <c r="I112" s="18">
        <v>0.46600000000000003</v>
      </c>
      <c r="J112" s="18">
        <v>6.6000000000000003E-2</v>
      </c>
    </row>
    <row r="113" spans="1:10">
      <c r="A113" s="20" t="s">
        <v>27</v>
      </c>
      <c r="B113" s="3" t="s">
        <v>46</v>
      </c>
      <c r="C113" s="3" t="s">
        <v>37</v>
      </c>
      <c r="D113" s="3" t="s">
        <v>33</v>
      </c>
      <c r="E113" s="21">
        <v>1560</v>
      </c>
      <c r="F113" s="22">
        <v>23.4</v>
      </c>
      <c r="G113" s="22">
        <v>1.2</v>
      </c>
      <c r="H113" s="22">
        <v>21.5</v>
      </c>
      <c r="I113" s="23">
        <v>0.58199999999999996</v>
      </c>
      <c r="J113" s="23">
        <v>3.5000000000000003E-2</v>
      </c>
    </row>
    <row r="114" spans="1:10">
      <c r="A114" s="19" t="s">
        <v>47</v>
      </c>
      <c r="B114" s="1" t="s">
        <v>28</v>
      </c>
      <c r="C114" s="1" t="s">
        <v>29</v>
      </c>
      <c r="D114" s="1" t="s">
        <v>30</v>
      </c>
      <c r="E114" s="16">
        <v>5794</v>
      </c>
      <c r="F114" s="17">
        <v>492.5</v>
      </c>
      <c r="G114" s="17">
        <v>39</v>
      </c>
      <c r="H114" s="17">
        <v>422.1</v>
      </c>
      <c r="I114" s="18">
        <v>0.35</v>
      </c>
      <c r="J114" s="18">
        <v>0.04</v>
      </c>
    </row>
    <row r="115" spans="1:10">
      <c r="A115" s="20" t="s">
        <v>47</v>
      </c>
      <c r="B115" s="3" t="s">
        <v>28</v>
      </c>
      <c r="C115" s="3" t="s">
        <v>29</v>
      </c>
      <c r="D115" s="3" t="s">
        <v>31</v>
      </c>
      <c r="E115" s="21">
        <v>4203</v>
      </c>
      <c r="F115" s="22">
        <v>252.2</v>
      </c>
      <c r="G115" s="22">
        <v>13.1</v>
      </c>
      <c r="H115" s="22">
        <v>262.10000000000002</v>
      </c>
      <c r="I115" s="23">
        <v>0.41499999999999998</v>
      </c>
      <c r="J115" s="23">
        <v>3.4000000000000002E-2</v>
      </c>
    </row>
    <row r="116" spans="1:10">
      <c r="A116" s="19" t="s">
        <v>47</v>
      </c>
      <c r="B116" s="1" t="s">
        <v>28</v>
      </c>
      <c r="C116" s="1" t="s">
        <v>29</v>
      </c>
      <c r="D116" s="1" t="s">
        <v>32</v>
      </c>
      <c r="E116" s="16">
        <v>9036</v>
      </c>
      <c r="F116" s="17">
        <v>225.9</v>
      </c>
      <c r="G116" s="17">
        <v>13.4</v>
      </c>
      <c r="H116" s="17">
        <v>227.3</v>
      </c>
      <c r="I116" s="18">
        <v>0.46</v>
      </c>
      <c r="J116" s="18">
        <v>4.4999999999999998E-2</v>
      </c>
    </row>
    <row r="117" spans="1:10">
      <c r="A117" s="20" t="s">
        <v>47</v>
      </c>
      <c r="B117" s="3" t="s">
        <v>28</v>
      </c>
      <c r="C117" s="3" t="s">
        <v>29</v>
      </c>
      <c r="D117" s="3" t="s">
        <v>33</v>
      </c>
      <c r="E117" s="21">
        <v>8893</v>
      </c>
      <c r="F117" s="22">
        <v>133.4</v>
      </c>
      <c r="G117" s="22">
        <v>8.5</v>
      </c>
      <c r="H117" s="22">
        <v>135.5</v>
      </c>
      <c r="I117" s="23">
        <v>0.53400000000000003</v>
      </c>
      <c r="J117" s="23">
        <v>3.5999999999999997E-2</v>
      </c>
    </row>
    <row r="118" spans="1:10">
      <c r="A118" s="19" t="s">
        <v>47</v>
      </c>
      <c r="B118" s="1" t="s">
        <v>28</v>
      </c>
      <c r="C118" s="1" t="s">
        <v>34</v>
      </c>
      <c r="D118" s="1" t="s">
        <v>30</v>
      </c>
      <c r="E118" s="16">
        <v>5320</v>
      </c>
      <c r="F118" s="17">
        <v>452.2</v>
      </c>
      <c r="G118" s="17">
        <v>24.1</v>
      </c>
      <c r="H118" s="17">
        <v>329.7</v>
      </c>
      <c r="I118" s="18">
        <v>0.34599999999999997</v>
      </c>
      <c r="J118" s="18">
        <v>7.8E-2</v>
      </c>
    </row>
    <row r="119" spans="1:10">
      <c r="A119" s="20" t="s">
        <v>47</v>
      </c>
      <c r="B119" s="3" t="s">
        <v>28</v>
      </c>
      <c r="C119" s="3" t="s">
        <v>34</v>
      </c>
      <c r="D119" s="3" t="s">
        <v>31</v>
      </c>
      <c r="E119" s="21">
        <v>4066</v>
      </c>
      <c r="F119" s="22">
        <v>244</v>
      </c>
      <c r="G119" s="22">
        <v>17.7</v>
      </c>
      <c r="H119" s="22">
        <v>221</v>
      </c>
      <c r="I119" s="23">
        <v>0.39100000000000001</v>
      </c>
      <c r="J119" s="23">
        <v>8.7999999999999995E-2</v>
      </c>
    </row>
    <row r="120" spans="1:10">
      <c r="A120" s="19" t="s">
        <v>47</v>
      </c>
      <c r="B120" s="1" t="s">
        <v>28</v>
      </c>
      <c r="C120" s="1" t="s">
        <v>34</v>
      </c>
      <c r="D120" s="1" t="s">
        <v>32</v>
      </c>
      <c r="E120" s="16">
        <v>7948</v>
      </c>
      <c r="F120" s="17">
        <v>198.7</v>
      </c>
      <c r="G120" s="17">
        <v>15.5</v>
      </c>
      <c r="H120" s="17">
        <v>171.1</v>
      </c>
      <c r="I120" s="18">
        <v>0.51700000000000002</v>
      </c>
      <c r="J120" s="18">
        <v>4.9000000000000002E-2</v>
      </c>
    </row>
    <row r="121" spans="1:10">
      <c r="A121" s="20" t="s">
        <v>47</v>
      </c>
      <c r="B121" s="3" t="s">
        <v>28</v>
      </c>
      <c r="C121" s="3" t="s">
        <v>34</v>
      </c>
      <c r="D121" s="3" t="s">
        <v>33</v>
      </c>
      <c r="E121" s="21">
        <v>8873</v>
      </c>
      <c r="F121" s="22">
        <v>133.1</v>
      </c>
      <c r="G121" s="22">
        <v>6.9</v>
      </c>
      <c r="H121" s="22">
        <v>119.1</v>
      </c>
      <c r="I121" s="23">
        <v>0.55600000000000005</v>
      </c>
      <c r="J121" s="23">
        <v>5.8999999999999997E-2</v>
      </c>
    </row>
    <row r="122" spans="1:10">
      <c r="A122" s="19" t="s">
        <v>47</v>
      </c>
      <c r="B122" s="1" t="s">
        <v>28</v>
      </c>
      <c r="C122" s="1" t="s">
        <v>35</v>
      </c>
      <c r="D122" s="1" t="s">
        <v>30</v>
      </c>
      <c r="E122" s="16">
        <v>2932</v>
      </c>
      <c r="F122" s="17">
        <v>249.3</v>
      </c>
      <c r="G122" s="17">
        <v>13.7</v>
      </c>
      <c r="H122" s="17">
        <v>217.7</v>
      </c>
      <c r="I122" s="18">
        <v>0.32900000000000001</v>
      </c>
      <c r="J122" s="18">
        <v>5.3999999999999999E-2</v>
      </c>
    </row>
    <row r="123" spans="1:10">
      <c r="A123" s="20" t="s">
        <v>47</v>
      </c>
      <c r="B123" s="3" t="s">
        <v>28</v>
      </c>
      <c r="C123" s="3" t="s">
        <v>35</v>
      </c>
      <c r="D123" s="3" t="s">
        <v>31</v>
      </c>
      <c r="E123" s="21">
        <v>2956</v>
      </c>
      <c r="F123" s="22">
        <v>177.4</v>
      </c>
      <c r="G123" s="22">
        <v>11.3</v>
      </c>
      <c r="H123" s="22">
        <v>185.1</v>
      </c>
      <c r="I123" s="23">
        <v>0.42399999999999999</v>
      </c>
      <c r="J123" s="23">
        <v>7.0999999999999994E-2</v>
      </c>
    </row>
    <row r="124" spans="1:10">
      <c r="A124" s="19" t="s">
        <v>47</v>
      </c>
      <c r="B124" s="1" t="s">
        <v>28</v>
      </c>
      <c r="C124" s="1" t="s">
        <v>35</v>
      </c>
      <c r="D124" s="1" t="s">
        <v>32</v>
      </c>
      <c r="E124" s="16">
        <v>6468</v>
      </c>
      <c r="F124" s="17">
        <v>161.69999999999999</v>
      </c>
      <c r="G124" s="17">
        <v>9.5</v>
      </c>
      <c r="H124" s="17">
        <v>170.9</v>
      </c>
      <c r="I124" s="18">
        <v>0.46300000000000002</v>
      </c>
      <c r="J124" s="18">
        <v>5.6000000000000001E-2</v>
      </c>
    </row>
    <row r="125" spans="1:10">
      <c r="A125" s="20" t="s">
        <v>47</v>
      </c>
      <c r="B125" s="3" t="s">
        <v>28</v>
      </c>
      <c r="C125" s="3" t="s">
        <v>35</v>
      </c>
      <c r="D125" s="3" t="s">
        <v>33</v>
      </c>
      <c r="E125" s="21">
        <v>5580</v>
      </c>
      <c r="F125" s="22">
        <v>83.7</v>
      </c>
      <c r="G125" s="22">
        <v>6.1</v>
      </c>
      <c r="H125" s="22">
        <v>89</v>
      </c>
      <c r="I125" s="23">
        <v>0.55000000000000004</v>
      </c>
      <c r="J125" s="23">
        <v>5.5E-2</v>
      </c>
    </row>
    <row r="126" spans="1:10">
      <c r="A126" s="19" t="s">
        <v>47</v>
      </c>
      <c r="B126" s="1" t="s">
        <v>28</v>
      </c>
      <c r="C126" s="1" t="s">
        <v>37</v>
      </c>
      <c r="D126" s="1" t="s">
        <v>30</v>
      </c>
      <c r="E126" s="16">
        <v>2892</v>
      </c>
      <c r="F126" s="17">
        <v>245.9</v>
      </c>
      <c r="G126" s="17">
        <v>12.2</v>
      </c>
      <c r="H126" s="17">
        <v>212.2</v>
      </c>
      <c r="I126" s="18">
        <v>0.38300000000000001</v>
      </c>
      <c r="J126" s="18">
        <v>7.2999999999999995E-2</v>
      </c>
    </row>
    <row r="127" spans="1:10">
      <c r="A127" s="20" t="s">
        <v>47</v>
      </c>
      <c r="B127" s="3" t="s">
        <v>28</v>
      </c>
      <c r="C127" s="3" t="s">
        <v>37</v>
      </c>
      <c r="D127" s="3" t="s">
        <v>31</v>
      </c>
      <c r="E127" s="21">
        <v>2213</v>
      </c>
      <c r="F127" s="22">
        <v>132.80000000000001</v>
      </c>
      <c r="G127" s="22">
        <v>10.6</v>
      </c>
      <c r="H127" s="22">
        <v>137.9</v>
      </c>
      <c r="I127" s="23">
        <v>0.42099999999999999</v>
      </c>
      <c r="J127" s="23">
        <v>5.3999999999999999E-2</v>
      </c>
    </row>
    <row r="128" spans="1:10">
      <c r="A128" s="19" t="s">
        <v>47</v>
      </c>
      <c r="B128" s="1" t="s">
        <v>28</v>
      </c>
      <c r="C128" s="1" t="s">
        <v>37</v>
      </c>
      <c r="D128" s="1" t="s">
        <v>32</v>
      </c>
      <c r="E128" s="16">
        <v>5612</v>
      </c>
      <c r="F128" s="17">
        <v>140.30000000000001</v>
      </c>
      <c r="G128" s="17">
        <v>9.5</v>
      </c>
      <c r="H128" s="17">
        <v>146.4</v>
      </c>
      <c r="I128" s="18">
        <v>0.46899999999999997</v>
      </c>
      <c r="J128" s="18">
        <v>7.6999999999999999E-2</v>
      </c>
    </row>
    <row r="129" spans="1:10">
      <c r="A129" s="20" t="s">
        <v>47</v>
      </c>
      <c r="B129" s="3" t="s">
        <v>28</v>
      </c>
      <c r="C129" s="3" t="s">
        <v>37</v>
      </c>
      <c r="D129" s="3" t="s">
        <v>33</v>
      </c>
      <c r="E129" s="21">
        <v>5160</v>
      </c>
      <c r="F129" s="22">
        <v>77.400000000000006</v>
      </c>
      <c r="G129" s="22">
        <v>4.8</v>
      </c>
      <c r="H129" s="22">
        <v>81.400000000000006</v>
      </c>
      <c r="I129" s="23">
        <v>0.57199999999999995</v>
      </c>
      <c r="J129" s="23">
        <v>3.5000000000000003E-2</v>
      </c>
    </row>
    <row r="130" spans="1:10">
      <c r="A130" s="19" t="s">
        <v>47</v>
      </c>
      <c r="B130" s="1" t="s">
        <v>38</v>
      </c>
      <c r="C130" s="1" t="s">
        <v>29</v>
      </c>
      <c r="D130" s="1" t="s">
        <v>30</v>
      </c>
      <c r="E130" s="16">
        <v>3880</v>
      </c>
      <c r="F130" s="17">
        <v>329.8</v>
      </c>
      <c r="G130" s="17">
        <v>17.899999999999999</v>
      </c>
      <c r="H130" s="17">
        <v>346.9</v>
      </c>
      <c r="I130" s="18">
        <v>0.39900000000000002</v>
      </c>
      <c r="J130" s="18">
        <v>3.3000000000000002E-2</v>
      </c>
    </row>
    <row r="131" spans="1:10">
      <c r="A131" s="20" t="s">
        <v>47</v>
      </c>
      <c r="B131" s="3" t="s">
        <v>38</v>
      </c>
      <c r="C131" s="3" t="s">
        <v>29</v>
      </c>
      <c r="D131" s="3" t="s">
        <v>31</v>
      </c>
      <c r="E131" s="21">
        <v>-4343</v>
      </c>
      <c r="F131" s="22">
        <v>260.60000000000002</v>
      </c>
      <c r="G131" s="22">
        <v>14.6</v>
      </c>
      <c r="H131" s="22">
        <v>276.3</v>
      </c>
      <c r="I131" s="23">
        <v>0.41399999999999998</v>
      </c>
      <c r="J131" s="23">
        <v>8.7999999999999995E-2</v>
      </c>
    </row>
    <row r="132" spans="1:10">
      <c r="A132" s="19" t="s">
        <v>47</v>
      </c>
      <c r="B132" s="1" t="s">
        <v>38</v>
      </c>
      <c r="C132" s="1" t="s">
        <v>29</v>
      </c>
      <c r="D132" s="1" t="s">
        <v>48</v>
      </c>
      <c r="E132" s="16">
        <v>6908</v>
      </c>
      <c r="F132" s="17">
        <v>172.7</v>
      </c>
      <c r="G132" s="17">
        <v>8.6999999999999993</v>
      </c>
      <c r="H132" s="17">
        <v>179.8</v>
      </c>
      <c r="I132" s="18">
        <v>0.48599999999999999</v>
      </c>
      <c r="J132" s="18">
        <v>6.0999999999999999E-2</v>
      </c>
    </row>
    <row r="133" spans="1:10">
      <c r="A133" s="20" t="s">
        <v>47</v>
      </c>
      <c r="B133" s="3" t="s">
        <v>38</v>
      </c>
      <c r="C133" s="3" t="s">
        <v>29</v>
      </c>
      <c r="D133" s="3" t="s">
        <v>33</v>
      </c>
      <c r="E133" s="21">
        <v>7666</v>
      </c>
      <c r="F133" s="22">
        <v>115</v>
      </c>
      <c r="G133" s="22">
        <v>6.7</v>
      </c>
      <c r="H133" s="22">
        <v>118.6</v>
      </c>
      <c r="I133" s="23">
        <v>0.55700000000000005</v>
      </c>
      <c r="J133" s="23">
        <v>7.5999999999999998E-2</v>
      </c>
    </row>
    <row r="134" spans="1:10">
      <c r="A134" s="19" t="s">
        <v>47</v>
      </c>
      <c r="B134" s="1" t="s">
        <v>38</v>
      </c>
      <c r="C134" s="1" t="s">
        <v>34</v>
      </c>
      <c r="D134" s="1" t="s">
        <v>30</v>
      </c>
      <c r="E134" s="16">
        <v>3363</v>
      </c>
      <c r="F134" s="17">
        <v>285.89999999999998</v>
      </c>
      <c r="G134" s="17">
        <v>15.4</v>
      </c>
      <c r="H134" s="17">
        <v>242.8</v>
      </c>
      <c r="I134" s="18">
        <v>0.35299999999999998</v>
      </c>
      <c r="J134" s="18">
        <v>3.5999999999999997E-2</v>
      </c>
    </row>
    <row r="135" spans="1:10">
      <c r="A135" s="20" t="s">
        <v>47</v>
      </c>
      <c r="B135" s="3" t="s">
        <v>38</v>
      </c>
      <c r="C135" s="3" t="s">
        <v>34</v>
      </c>
      <c r="D135" s="3" t="s">
        <v>31</v>
      </c>
      <c r="E135" s="21">
        <v>4261</v>
      </c>
      <c r="F135" s="22">
        <v>255.7</v>
      </c>
      <c r="G135" s="22">
        <v>11.4</v>
      </c>
      <c r="H135" s="22">
        <v>233</v>
      </c>
      <c r="I135" s="23">
        <v>0.40500000000000003</v>
      </c>
      <c r="J135" s="23">
        <v>3.9E-2</v>
      </c>
    </row>
    <row r="136" spans="1:10">
      <c r="A136" s="19" t="s">
        <v>47</v>
      </c>
      <c r="B136" s="1" t="s">
        <v>38</v>
      </c>
      <c r="C136" s="1" t="s">
        <v>34</v>
      </c>
      <c r="D136" s="1" t="s">
        <v>32</v>
      </c>
      <c r="E136" s="16">
        <v>7252</v>
      </c>
      <c r="F136" s="17">
        <v>181.3</v>
      </c>
      <c r="G136" s="17">
        <v>8.8000000000000007</v>
      </c>
      <c r="H136" s="17">
        <v>159.6</v>
      </c>
      <c r="I136" s="18">
        <v>0.47499999999999998</v>
      </c>
      <c r="J136" s="18">
        <v>5.8999999999999997E-2</v>
      </c>
    </row>
    <row r="137" spans="1:10">
      <c r="A137" s="20" t="s">
        <v>47</v>
      </c>
      <c r="B137" s="3" t="s">
        <v>38</v>
      </c>
      <c r="C137" s="3" t="s">
        <v>34</v>
      </c>
      <c r="D137" s="3" t="s">
        <v>33</v>
      </c>
      <c r="E137" s="21">
        <v>7206</v>
      </c>
      <c r="F137" s="22">
        <v>108.1</v>
      </c>
      <c r="G137" s="22">
        <v>5.7</v>
      </c>
      <c r="H137" s="22">
        <v>93.8</v>
      </c>
      <c r="I137" s="23">
        <v>0.51900000000000002</v>
      </c>
      <c r="J137" s="23">
        <v>7.9000000000000001E-2</v>
      </c>
    </row>
    <row r="138" spans="1:10">
      <c r="A138" s="19" t="s">
        <v>47</v>
      </c>
      <c r="B138" s="1" t="s">
        <v>38</v>
      </c>
      <c r="C138" s="1" t="s">
        <v>35</v>
      </c>
      <c r="D138" s="1" t="s">
        <v>30</v>
      </c>
      <c r="E138" s="16">
        <v>2518</v>
      </c>
      <c r="F138" s="17">
        <v>214.1</v>
      </c>
      <c r="G138" s="17">
        <v>14.1</v>
      </c>
      <c r="H138" s="17">
        <v>225.7</v>
      </c>
      <c r="I138" s="18">
        <v>0.39900000000000002</v>
      </c>
      <c r="J138" s="18">
        <v>0.04</v>
      </c>
    </row>
    <row r="139" spans="1:10">
      <c r="A139" s="20" t="s">
        <v>47</v>
      </c>
      <c r="B139" s="3" t="s">
        <v>38</v>
      </c>
      <c r="C139" s="3" t="s">
        <v>35</v>
      </c>
      <c r="D139" s="3" t="s">
        <v>31</v>
      </c>
      <c r="E139" s="21">
        <v>2343</v>
      </c>
      <c r="F139" s="22">
        <v>140.6</v>
      </c>
      <c r="G139" s="22">
        <v>6.6</v>
      </c>
      <c r="H139" s="22">
        <v>142.4</v>
      </c>
      <c r="I139" s="23">
        <v>0.45700000000000002</v>
      </c>
      <c r="J139" s="23">
        <v>6.4000000000000001E-2</v>
      </c>
    </row>
    <row r="140" spans="1:10">
      <c r="A140" s="19" t="s">
        <v>47</v>
      </c>
      <c r="B140" s="1" t="s">
        <v>38</v>
      </c>
      <c r="C140" s="1" t="s">
        <v>35</v>
      </c>
      <c r="D140" s="1" t="s">
        <v>32</v>
      </c>
      <c r="E140" s="16">
        <v>4584</v>
      </c>
      <c r="F140" s="17">
        <v>114.6</v>
      </c>
      <c r="G140" s="17">
        <v>6.4</v>
      </c>
      <c r="H140" s="17">
        <v>116.3</v>
      </c>
      <c r="I140" s="18">
        <v>0.47499999999999998</v>
      </c>
      <c r="J140" s="18">
        <v>6.8000000000000005E-2</v>
      </c>
    </row>
    <row r="141" spans="1:10">
      <c r="A141" s="20" t="s">
        <v>47</v>
      </c>
      <c r="B141" s="3" t="s">
        <v>38</v>
      </c>
      <c r="C141" s="3" t="s">
        <v>35</v>
      </c>
      <c r="D141" s="3" t="s">
        <v>33</v>
      </c>
      <c r="E141" s="21">
        <v>3960</v>
      </c>
      <c r="F141" s="22">
        <v>59.4</v>
      </c>
      <c r="G141" s="22">
        <v>3.8</v>
      </c>
      <c r="H141" s="22">
        <v>60.4</v>
      </c>
      <c r="I141" s="23">
        <v>0.54100000000000004</v>
      </c>
      <c r="J141" s="23">
        <v>6.6000000000000003E-2</v>
      </c>
    </row>
    <row r="142" spans="1:10">
      <c r="A142" s="19" t="s">
        <v>47</v>
      </c>
      <c r="B142" s="1" t="s">
        <v>38</v>
      </c>
      <c r="C142" s="1" t="s">
        <v>37</v>
      </c>
      <c r="D142" s="1" t="s">
        <v>30</v>
      </c>
      <c r="E142" s="16">
        <v>2117</v>
      </c>
      <c r="F142" s="17">
        <v>180</v>
      </c>
      <c r="G142" s="17">
        <v>8.6999999999999993</v>
      </c>
      <c r="H142" s="17">
        <v>190.8</v>
      </c>
      <c r="I142" s="18">
        <v>0.32500000000000001</v>
      </c>
      <c r="J142" s="18">
        <v>7.9000000000000001E-2</v>
      </c>
    </row>
    <row r="143" spans="1:10">
      <c r="A143" s="20" t="s">
        <v>47</v>
      </c>
      <c r="B143" s="3" t="s">
        <v>38</v>
      </c>
      <c r="C143" s="3" t="s">
        <v>37</v>
      </c>
      <c r="D143" s="3" t="s">
        <v>31</v>
      </c>
      <c r="E143" s="21">
        <v>1955</v>
      </c>
      <c r="F143" s="22">
        <v>117.3</v>
      </c>
      <c r="G143" s="22">
        <v>8.8000000000000007</v>
      </c>
      <c r="H143" s="22">
        <v>119.1</v>
      </c>
      <c r="I143" s="23">
        <v>0.41699999999999998</v>
      </c>
      <c r="J143" s="23">
        <v>0.05</v>
      </c>
    </row>
    <row r="144" spans="1:10">
      <c r="A144" s="19" t="s">
        <v>47</v>
      </c>
      <c r="B144" s="1" t="s">
        <v>38</v>
      </c>
      <c r="C144" s="1" t="s">
        <v>37</v>
      </c>
      <c r="D144" s="1" t="s">
        <v>32</v>
      </c>
      <c r="E144" s="16">
        <v>4048</v>
      </c>
      <c r="F144" s="17">
        <v>101.2</v>
      </c>
      <c r="G144" s="17">
        <v>7.5</v>
      </c>
      <c r="H144" s="17">
        <v>105.5</v>
      </c>
      <c r="I144" s="18">
        <v>0.48799999999999999</v>
      </c>
      <c r="J144" s="18">
        <v>6.8000000000000005E-2</v>
      </c>
    </row>
    <row r="145" spans="1:10">
      <c r="A145" s="20" t="s">
        <v>47</v>
      </c>
      <c r="B145" s="3" t="s">
        <v>38</v>
      </c>
      <c r="C145" s="3" t="s">
        <v>37</v>
      </c>
      <c r="D145" s="3" t="s">
        <v>33</v>
      </c>
      <c r="E145" s="21">
        <v>4173</v>
      </c>
      <c r="F145" s="22">
        <v>62.6</v>
      </c>
      <c r="G145" s="22">
        <v>4</v>
      </c>
      <c r="H145" s="22">
        <v>64.3</v>
      </c>
      <c r="I145" s="23">
        <v>0.55900000000000005</v>
      </c>
      <c r="J145" s="23">
        <v>8.1000000000000003E-2</v>
      </c>
    </row>
    <row r="146" spans="1:10">
      <c r="A146" s="19" t="s">
        <v>47</v>
      </c>
      <c r="B146" s="1" t="s">
        <v>40</v>
      </c>
      <c r="C146" s="1" t="s">
        <v>29</v>
      </c>
      <c r="D146" s="1" t="s">
        <v>30</v>
      </c>
      <c r="E146" s="16">
        <v>3184</v>
      </c>
      <c r="F146" s="17">
        <v>270.7</v>
      </c>
      <c r="G146" s="17">
        <v>18.5</v>
      </c>
      <c r="H146" s="17">
        <v>277.2</v>
      </c>
      <c r="I146" s="18">
        <v>0.32700000000000001</v>
      </c>
      <c r="J146" s="18">
        <v>6.7000000000000004E-2</v>
      </c>
    </row>
    <row r="147" spans="1:10">
      <c r="A147" s="20" t="s">
        <v>47</v>
      </c>
      <c r="B147" s="3" t="s">
        <v>40</v>
      </c>
      <c r="C147" s="3" t="s">
        <v>29</v>
      </c>
      <c r="D147" s="3" t="s">
        <v>31</v>
      </c>
      <c r="E147" s="21">
        <v>2885</v>
      </c>
      <c r="F147" s="22">
        <v>173.1</v>
      </c>
      <c r="G147" s="22">
        <v>7.7</v>
      </c>
      <c r="H147" s="22">
        <v>177.3</v>
      </c>
      <c r="I147" s="23">
        <v>0.435</v>
      </c>
      <c r="J147" s="23">
        <v>4.1000000000000002E-2</v>
      </c>
    </row>
    <row r="148" spans="1:10">
      <c r="A148" s="19" t="s">
        <v>47</v>
      </c>
      <c r="B148" s="1" t="s">
        <v>40</v>
      </c>
      <c r="C148" s="1" t="s">
        <v>29</v>
      </c>
      <c r="D148" s="1" t="s">
        <v>32</v>
      </c>
      <c r="E148" s="16">
        <v>6384</v>
      </c>
      <c r="F148" s="17">
        <v>159.6</v>
      </c>
      <c r="G148" s="17">
        <v>9.1</v>
      </c>
      <c r="H148" s="17">
        <v>161.30000000000001</v>
      </c>
      <c r="I148" s="18">
        <v>0.45500000000000002</v>
      </c>
      <c r="J148" s="18">
        <v>5.2999999999999999E-2</v>
      </c>
    </row>
    <row r="149" spans="1:10">
      <c r="A149" s="20" t="s">
        <v>47</v>
      </c>
      <c r="B149" s="3" t="s">
        <v>40</v>
      </c>
      <c r="C149" s="3" t="s">
        <v>29</v>
      </c>
      <c r="D149" s="3" t="s">
        <v>33</v>
      </c>
      <c r="E149" s="21">
        <v>6133</v>
      </c>
      <c r="F149" s="22">
        <v>92</v>
      </c>
      <c r="G149" s="22">
        <v>6.2</v>
      </c>
      <c r="H149" s="22">
        <v>96.7</v>
      </c>
      <c r="I149" s="23">
        <v>0.55400000000000005</v>
      </c>
      <c r="J149" s="23">
        <v>0.09</v>
      </c>
    </row>
    <row r="150" spans="1:10">
      <c r="A150" s="19" t="s">
        <v>47</v>
      </c>
      <c r="B150" s="1" t="s">
        <v>40</v>
      </c>
      <c r="C150" s="1" t="s">
        <v>34</v>
      </c>
      <c r="D150" s="1" t="s">
        <v>30</v>
      </c>
      <c r="E150" s="16">
        <v>2634</v>
      </c>
      <c r="F150" s="17">
        <v>223.9</v>
      </c>
      <c r="G150" s="17">
        <v>10.199999999999999</v>
      </c>
      <c r="H150" s="17">
        <v>194.5</v>
      </c>
      <c r="I150" s="18">
        <v>0.32400000000000001</v>
      </c>
      <c r="J150" s="18">
        <v>5.7000000000000002E-2</v>
      </c>
    </row>
    <row r="151" spans="1:10">
      <c r="A151" s="20" t="s">
        <v>47</v>
      </c>
      <c r="B151" s="3" t="s">
        <v>40</v>
      </c>
      <c r="C151" s="3" t="s">
        <v>34</v>
      </c>
      <c r="D151" s="3" t="s">
        <v>31</v>
      </c>
      <c r="E151" s="21">
        <v>2816</v>
      </c>
      <c r="F151" s="22">
        <v>169</v>
      </c>
      <c r="G151" s="22">
        <v>6.8</v>
      </c>
      <c r="H151" s="22">
        <v>144.80000000000001</v>
      </c>
      <c r="I151" s="23">
        <v>0.45700000000000002</v>
      </c>
      <c r="J151" s="23">
        <v>7.9000000000000001E-2</v>
      </c>
    </row>
    <row r="152" spans="1:10">
      <c r="A152" s="19" t="s">
        <v>47</v>
      </c>
      <c r="B152" s="1" t="s">
        <v>40</v>
      </c>
      <c r="C152" s="1" t="s">
        <v>34</v>
      </c>
      <c r="D152" s="1" t="s">
        <v>32</v>
      </c>
      <c r="E152" s="16">
        <v>5784</v>
      </c>
      <c r="F152" s="17">
        <v>144.6</v>
      </c>
      <c r="G152" s="17">
        <v>8.6</v>
      </c>
      <c r="H152" s="17">
        <v>129.30000000000001</v>
      </c>
      <c r="I152" s="18">
        <v>0.50700000000000001</v>
      </c>
      <c r="J152" s="18">
        <v>5.5E-2</v>
      </c>
    </row>
    <row r="153" spans="1:10">
      <c r="A153" s="20" t="s">
        <v>47</v>
      </c>
      <c r="B153" s="3" t="s">
        <v>40</v>
      </c>
      <c r="C153" s="3" t="s">
        <v>34</v>
      </c>
      <c r="D153" s="3" t="s">
        <v>33</v>
      </c>
      <c r="E153" s="21">
        <v>5326</v>
      </c>
      <c r="F153" s="22">
        <v>79.900000000000006</v>
      </c>
      <c r="G153" s="22">
        <v>3.5</v>
      </c>
      <c r="H153" s="22">
        <v>67.900000000000006</v>
      </c>
      <c r="I153" s="23">
        <v>0.53300000000000003</v>
      </c>
      <c r="J153" s="23">
        <v>7.5999999999999998E-2</v>
      </c>
    </row>
    <row r="154" spans="1:10">
      <c r="A154" s="19" t="s">
        <v>47</v>
      </c>
      <c r="B154" s="1" t="s">
        <v>40</v>
      </c>
      <c r="C154" s="1" t="s">
        <v>35</v>
      </c>
      <c r="D154" s="1" t="s">
        <v>30</v>
      </c>
      <c r="E154" s="16">
        <v>1670</v>
      </c>
      <c r="F154" s="17">
        <v>142</v>
      </c>
      <c r="G154" s="17">
        <v>8.6999999999999993</v>
      </c>
      <c r="H154" s="17">
        <v>143.9</v>
      </c>
      <c r="I154" s="18">
        <v>0.379</v>
      </c>
      <c r="J154" s="18">
        <v>5.7000000000000002E-2</v>
      </c>
    </row>
    <row r="155" spans="1:10">
      <c r="A155" s="20" t="s">
        <v>47</v>
      </c>
      <c r="B155" s="3" t="s">
        <v>40</v>
      </c>
      <c r="C155" s="3" t="s">
        <v>35</v>
      </c>
      <c r="D155" s="3" t="s">
        <v>31</v>
      </c>
      <c r="E155" s="21">
        <v>2153</v>
      </c>
      <c r="F155" s="22">
        <v>129.19999999999999</v>
      </c>
      <c r="G155" s="22">
        <v>8</v>
      </c>
      <c r="H155" s="22">
        <v>130.4</v>
      </c>
      <c r="I155" s="23">
        <v>0.442</v>
      </c>
      <c r="J155" s="23">
        <v>3.6999999999999998E-2</v>
      </c>
    </row>
    <row r="156" spans="1:10">
      <c r="A156" s="19" t="s">
        <v>47</v>
      </c>
      <c r="B156" s="1" t="s">
        <v>40</v>
      </c>
      <c r="C156" s="1" t="s">
        <v>35</v>
      </c>
      <c r="D156" s="1" t="s">
        <v>32</v>
      </c>
      <c r="E156" s="16">
        <v>4296</v>
      </c>
      <c r="F156" s="17">
        <v>107.4</v>
      </c>
      <c r="G156" s="17">
        <v>5.9</v>
      </c>
      <c r="H156" s="17">
        <v>114.5</v>
      </c>
      <c r="I156" s="18">
        <v>0.498</v>
      </c>
      <c r="J156" s="18">
        <v>3.2000000000000001E-2</v>
      </c>
    </row>
    <row r="157" spans="1:10">
      <c r="A157" s="20" t="s">
        <v>47</v>
      </c>
      <c r="B157" s="3" t="s">
        <v>40</v>
      </c>
      <c r="C157" s="3" t="s">
        <v>35</v>
      </c>
      <c r="D157" s="3" t="s">
        <v>33</v>
      </c>
      <c r="E157" s="21">
        <v>3673</v>
      </c>
      <c r="F157" s="22">
        <v>55.1</v>
      </c>
      <c r="G157" s="22">
        <v>4.4000000000000004</v>
      </c>
      <c r="H157" s="22">
        <v>55.6</v>
      </c>
      <c r="I157" s="23">
        <v>0.56999999999999995</v>
      </c>
      <c r="J157" s="23">
        <v>0.08</v>
      </c>
    </row>
    <row r="158" spans="1:10">
      <c r="A158" s="19" t="s">
        <v>47</v>
      </c>
      <c r="B158" s="1" t="s">
        <v>40</v>
      </c>
      <c r="C158" s="1" t="s">
        <v>37</v>
      </c>
      <c r="D158" s="1" t="s">
        <v>30</v>
      </c>
      <c r="E158" s="16">
        <v>1472</v>
      </c>
      <c r="F158" s="17">
        <v>125.2</v>
      </c>
      <c r="G158" s="17">
        <v>10</v>
      </c>
      <c r="H158" s="17">
        <v>129.69999999999999</v>
      </c>
      <c r="I158" s="18">
        <v>0.38500000000000001</v>
      </c>
      <c r="J158" s="18">
        <v>5.0999999999999997E-2</v>
      </c>
    </row>
    <row r="159" spans="1:10">
      <c r="A159" s="20" t="s">
        <v>47</v>
      </c>
      <c r="B159" s="3" t="s">
        <v>40</v>
      </c>
      <c r="C159" s="3" t="s">
        <v>37</v>
      </c>
      <c r="D159" s="3" t="s">
        <v>31</v>
      </c>
      <c r="E159" s="21">
        <v>1713</v>
      </c>
      <c r="F159" s="22">
        <v>102.8</v>
      </c>
      <c r="G159" s="22">
        <v>8.1999999999999993</v>
      </c>
      <c r="H159" s="22">
        <v>109.2</v>
      </c>
      <c r="I159" s="23">
        <v>0.44500000000000001</v>
      </c>
      <c r="J159" s="23">
        <v>4.3999999999999997E-2</v>
      </c>
    </row>
    <row r="160" spans="1:10">
      <c r="A160" s="19" t="s">
        <v>47</v>
      </c>
      <c r="B160" s="1" t="s">
        <v>40</v>
      </c>
      <c r="C160" s="1" t="s">
        <v>37</v>
      </c>
      <c r="D160" s="1" t="s">
        <v>32</v>
      </c>
      <c r="E160" s="16">
        <v>3516</v>
      </c>
      <c r="F160" s="17">
        <v>87.9</v>
      </c>
      <c r="G160" s="17">
        <v>4.7</v>
      </c>
      <c r="H160" s="17">
        <v>92.9</v>
      </c>
      <c r="I160" s="18">
        <v>0.45300000000000001</v>
      </c>
      <c r="J160" s="18">
        <v>6.8000000000000005E-2</v>
      </c>
    </row>
    <row r="161" spans="1:10">
      <c r="A161" s="20" t="s">
        <v>47</v>
      </c>
      <c r="B161" s="3" t="s">
        <v>40</v>
      </c>
      <c r="C161" s="3" t="s">
        <v>37</v>
      </c>
      <c r="D161" s="3" t="s">
        <v>33</v>
      </c>
      <c r="E161" s="21">
        <v>2826</v>
      </c>
      <c r="F161" s="22">
        <v>42.4</v>
      </c>
      <c r="G161" s="22">
        <v>2</v>
      </c>
      <c r="H161" s="22">
        <v>43.1</v>
      </c>
      <c r="I161" s="23">
        <v>0.53800000000000003</v>
      </c>
      <c r="J161" s="23">
        <v>3.4000000000000002E-2</v>
      </c>
    </row>
    <row r="162" spans="1:10">
      <c r="A162" s="19" t="s">
        <v>47</v>
      </c>
      <c r="B162" s="1" t="s">
        <v>41</v>
      </c>
      <c r="C162" s="1" t="s">
        <v>29</v>
      </c>
      <c r="D162" s="1" t="s">
        <v>30</v>
      </c>
      <c r="E162" s="16">
        <v>1735</v>
      </c>
      <c r="F162" s="17">
        <v>147.5</v>
      </c>
      <c r="G162" s="17">
        <v>16.3</v>
      </c>
      <c r="H162" s="17">
        <v>194.1</v>
      </c>
      <c r="I162" s="18">
        <v>0.34300000000000003</v>
      </c>
      <c r="J162" s="18">
        <v>0.13200000000000001</v>
      </c>
    </row>
    <row r="163" spans="1:10">
      <c r="A163" s="20" t="s">
        <v>47</v>
      </c>
      <c r="B163" s="3" t="s">
        <v>41</v>
      </c>
      <c r="C163" s="3" t="s">
        <v>29</v>
      </c>
      <c r="D163" s="3" t="s">
        <v>31</v>
      </c>
      <c r="E163" s="21">
        <v>1923</v>
      </c>
      <c r="F163" s="22">
        <v>115.4</v>
      </c>
      <c r="G163" s="22">
        <v>15.4</v>
      </c>
      <c r="H163" s="22">
        <v>159.6</v>
      </c>
      <c r="I163" s="23">
        <v>0.38800000000000001</v>
      </c>
      <c r="J163" s="23">
        <v>0.13100000000000001</v>
      </c>
    </row>
    <row r="164" spans="1:10">
      <c r="A164" s="19" t="s">
        <v>47</v>
      </c>
      <c r="B164" s="1" t="s">
        <v>41</v>
      </c>
      <c r="C164" s="1" t="s">
        <v>29</v>
      </c>
      <c r="D164" s="1" t="s">
        <v>32</v>
      </c>
      <c r="E164" s="16">
        <v>4624</v>
      </c>
      <c r="F164" s="17">
        <v>115.6</v>
      </c>
      <c r="G164" s="17">
        <v>14.9</v>
      </c>
      <c r="H164" s="17">
        <v>159.1</v>
      </c>
      <c r="I164" s="18">
        <v>0.50900000000000001</v>
      </c>
      <c r="J164" s="18">
        <v>0.15</v>
      </c>
    </row>
    <row r="165" spans="1:10">
      <c r="A165" s="20" t="s">
        <v>47</v>
      </c>
      <c r="B165" s="3" t="s">
        <v>41</v>
      </c>
      <c r="C165" s="3" t="s">
        <v>29</v>
      </c>
      <c r="D165" s="3" t="s">
        <v>33</v>
      </c>
      <c r="E165" s="21">
        <v>3340</v>
      </c>
      <c r="F165" s="22">
        <v>50.1</v>
      </c>
      <c r="G165" s="22">
        <v>6.7</v>
      </c>
      <c r="H165" s="22">
        <v>65.5</v>
      </c>
      <c r="I165" s="23">
        <v>0.57599999999999996</v>
      </c>
      <c r="J165" s="23">
        <v>0.13300000000000001</v>
      </c>
    </row>
    <row r="166" spans="1:10">
      <c r="A166" s="19" t="s">
        <v>47</v>
      </c>
      <c r="B166" s="1" t="s">
        <v>41</v>
      </c>
      <c r="C166" s="1" t="s">
        <v>34</v>
      </c>
      <c r="D166" s="1" t="s">
        <v>30</v>
      </c>
      <c r="E166" s="16">
        <v>2331</v>
      </c>
      <c r="F166" s="17">
        <v>198.2</v>
      </c>
      <c r="G166" s="17">
        <v>13.3</v>
      </c>
      <c r="H166" s="17">
        <v>174.5</v>
      </c>
      <c r="I166" s="18">
        <v>0.34100000000000003</v>
      </c>
      <c r="J166" s="18">
        <v>6.5000000000000002E-2</v>
      </c>
    </row>
    <row r="167" spans="1:10">
      <c r="A167" s="20" t="s">
        <v>47</v>
      </c>
      <c r="B167" s="3" t="s">
        <v>41</v>
      </c>
      <c r="C167" s="3" t="s">
        <v>34</v>
      </c>
      <c r="D167" s="3" t="s">
        <v>31</v>
      </c>
      <c r="E167" s="21">
        <v>2345</v>
      </c>
      <c r="F167" s="22">
        <v>140.69999999999999</v>
      </c>
      <c r="G167" s="22">
        <v>8.1999999999999993</v>
      </c>
      <c r="H167" s="22">
        <v>125.3</v>
      </c>
      <c r="I167" s="23">
        <v>0.38700000000000001</v>
      </c>
      <c r="J167" s="23">
        <v>8.3000000000000004E-2</v>
      </c>
    </row>
    <row r="168" spans="1:10">
      <c r="A168" s="19" t="s">
        <v>47</v>
      </c>
      <c r="B168" s="1" t="s">
        <v>41</v>
      </c>
      <c r="C168" s="1" t="s">
        <v>34</v>
      </c>
      <c r="D168" s="1" t="s">
        <v>32</v>
      </c>
      <c r="E168" s="16">
        <v>4748</v>
      </c>
      <c r="F168" s="17">
        <v>118.7</v>
      </c>
      <c r="G168" s="17">
        <v>6.1</v>
      </c>
      <c r="H168" s="17">
        <v>108.1</v>
      </c>
      <c r="I168" s="18">
        <v>0.51600000000000001</v>
      </c>
      <c r="J168" s="18">
        <v>5.1999999999999998E-2</v>
      </c>
    </row>
    <row r="169" spans="1:10">
      <c r="A169" s="20" t="s">
        <v>47</v>
      </c>
      <c r="B169" s="3" t="s">
        <v>41</v>
      </c>
      <c r="C169" s="3" t="s">
        <v>34</v>
      </c>
      <c r="D169" s="3" t="s">
        <v>33</v>
      </c>
      <c r="E169" s="21">
        <v>4146</v>
      </c>
      <c r="F169" s="22">
        <v>62.2</v>
      </c>
      <c r="G169" s="22">
        <v>2.5</v>
      </c>
      <c r="H169" s="22">
        <v>56</v>
      </c>
      <c r="I169" s="23">
        <v>0.56799999999999995</v>
      </c>
      <c r="J169" s="23">
        <v>7.3999999999999996E-2</v>
      </c>
    </row>
    <row r="170" spans="1:10">
      <c r="A170" s="19" t="s">
        <v>47</v>
      </c>
      <c r="B170" s="1" t="s">
        <v>41</v>
      </c>
      <c r="C170" s="1" t="s">
        <v>35</v>
      </c>
      <c r="D170" s="1" t="s">
        <v>30</v>
      </c>
      <c r="E170" s="16">
        <v>1447</v>
      </c>
      <c r="F170" s="17">
        <v>123</v>
      </c>
      <c r="G170" s="17">
        <v>8.1999999999999993</v>
      </c>
      <c r="H170" s="17">
        <v>126.6</v>
      </c>
      <c r="I170" s="18">
        <v>0.36299999999999999</v>
      </c>
      <c r="J170" s="18">
        <v>3.4000000000000002E-2</v>
      </c>
    </row>
    <row r="171" spans="1:10">
      <c r="A171" s="20" t="s">
        <v>47</v>
      </c>
      <c r="B171" s="3" t="s">
        <v>41</v>
      </c>
      <c r="C171" s="3" t="s">
        <v>35</v>
      </c>
      <c r="D171" s="3" t="s">
        <v>31</v>
      </c>
      <c r="E171" s="21">
        <v>1493</v>
      </c>
      <c r="F171" s="22">
        <v>89.6</v>
      </c>
      <c r="G171" s="22">
        <v>5.0999999999999996</v>
      </c>
      <c r="H171" s="22">
        <v>91.1</v>
      </c>
      <c r="I171" s="23">
        <v>0.44600000000000001</v>
      </c>
      <c r="J171" s="23">
        <v>4.5999999999999999E-2</v>
      </c>
    </row>
    <row r="172" spans="1:10">
      <c r="A172" s="19" t="s">
        <v>47</v>
      </c>
      <c r="B172" s="1" t="s">
        <v>41</v>
      </c>
      <c r="C172" s="1" t="s">
        <v>35</v>
      </c>
      <c r="D172" s="1" t="s">
        <v>32</v>
      </c>
      <c r="E172" s="16">
        <v>3048</v>
      </c>
      <c r="F172" s="17">
        <v>76.2</v>
      </c>
      <c r="G172" s="17">
        <v>4.8</v>
      </c>
      <c r="H172" s="17">
        <v>79.599999999999994</v>
      </c>
      <c r="I172" s="18">
        <v>0.46700000000000003</v>
      </c>
      <c r="J172" s="18">
        <v>5.8999999999999997E-2</v>
      </c>
    </row>
    <row r="173" spans="1:10">
      <c r="A173" s="20" t="s">
        <v>47</v>
      </c>
      <c r="B173" s="3" t="s">
        <v>41</v>
      </c>
      <c r="C173" s="3" t="s">
        <v>35</v>
      </c>
      <c r="D173" s="3" t="s">
        <v>33</v>
      </c>
      <c r="E173" s="21">
        <v>3126</v>
      </c>
      <c r="F173" s="22">
        <v>46.9</v>
      </c>
      <c r="G173" s="22">
        <v>2</v>
      </c>
      <c r="H173" s="22">
        <v>47.3</v>
      </c>
      <c r="I173" s="23">
        <v>0.54700000000000004</v>
      </c>
      <c r="J173" s="23">
        <v>7.6999999999999999E-2</v>
      </c>
    </row>
    <row r="174" spans="1:10">
      <c r="A174" s="19" t="s">
        <v>47</v>
      </c>
      <c r="B174" s="1" t="s">
        <v>41</v>
      </c>
      <c r="C174" s="1" t="s">
        <v>37</v>
      </c>
      <c r="D174" s="1" t="s">
        <v>30</v>
      </c>
      <c r="E174" s="16">
        <v>1137</v>
      </c>
      <c r="F174" s="17">
        <v>96.7</v>
      </c>
      <c r="G174" s="17">
        <v>7.2</v>
      </c>
      <c r="H174" s="17">
        <v>100.1</v>
      </c>
      <c r="I174" s="18">
        <v>0.39700000000000002</v>
      </c>
      <c r="J174" s="18">
        <v>0.03</v>
      </c>
    </row>
    <row r="175" spans="1:10">
      <c r="A175" s="20" t="s">
        <v>47</v>
      </c>
      <c r="B175" s="3" t="s">
        <v>41</v>
      </c>
      <c r="C175" s="3" t="s">
        <v>37</v>
      </c>
      <c r="D175" s="3" t="s">
        <v>31</v>
      </c>
      <c r="E175" s="21">
        <v>1300</v>
      </c>
      <c r="F175" s="22">
        <v>78</v>
      </c>
      <c r="G175" s="22">
        <v>5.3</v>
      </c>
      <c r="H175" s="22">
        <v>78.8</v>
      </c>
      <c r="I175" s="23">
        <v>0.39300000000000002</v>
      </c>
      <c r="J175" s="23">
        <v>6.9000000000000006E-2</v>
      </c>
    </row>
    <row r="176" spans="1:10">
      <c r="A176" s="19" t="s">
        <v>47</v>
      </c>
      <c r="B176" s="1" t="s">
        <v>41</v>
      </c>
      <c r="C176" s="1" t="s">
        <v>37</v>
      </c>
      <c r="D176" s="1" t="s">
        <v>32</v>
      </c>
      <c r="E176" s="16">
        <v>3168</v>
      </c>
      <c r="F176" s="17">
        <v>79.2</v>
      </c>
      <c r="G176" s="17">
        <v>4</v>
      </c>
      <c r="H176" s="17">
        <v>83.3</v>
      </c>
      <c r="I176" s="18">
        <v>0.47</v>
      </c>
      <c r="J176" s="18">
        <v>4.4999999999999998E-2</v>
      </c>
    </row>
    <row r="177" spans="1:10">
      <c r="A177" s="20" t="s">
        <v>47</v>
      </c>
      <c r="B177" s="3" t="s">
        <v>41</v>
      </c>
      <c r="C177" s="3" t="s">
        <v>37</v>
      </c>
      <c r="D177" s="3" t="s">
        <v>33</v>
      </c>
      <c r="E177" s="21">
        <v>2913</v>
      </c>
      <c r="F177" s="22">
        <v>43.7</v>
      </c>
      <c r="G177" s="22">
        <v>2</v>
      </c>
      <c r="H177" s="22">
        <v>45</v>
      </c>
      <c r="I177" s="23">
        <v>0.56599999999999995</v>
      </c>
      <c r="J177" s="23">
        <v>4.8000000000000001E-2</v>
      </c>
    </row>
    <row r="178" spans="1:10">
      <c r="A178" s="19" t="s">
        <v>47</v>
      </c>
      <c r="B178" s="1" t="s">
        <v>43</v>
      </c>
      <c r="C178" s="1" t="s">
        <v>29</v>
      </c>
      <c r="D178" s="1" t="s">
        <v>30</v>
      </c>
      <c r="E178" s="16">
        <v>3165</v>
      </c>
      <c r="F178" s="17">
        <v>269.10000000000002</v>
      </c>
      <c r="G178" s="17">
        <v>17.8</v>
      </c>
      <c r="H178" s="17">
        <v>284.3</v>
      </c>
      <c r="I178" s="18">
        <v>0.35799999999999998</v>
      </c>
      <c r="J178" s="18">
        <v>0.03</v>
      </c>
    </row>
    <row r="179" spans="1:10">
      <c r="A179" s="20" t="s">
        <v>47</v>
      </c>
      <c r="B179" s="3" t="s">
        <v>43</v>
      </c>
      <c r="C179" s="3" t="s">
        <v>29</v>
      </c>
      <c r="D179" s="3" t="s">
        <v>31</v>
      </c>
      <c r="E179" s="21">
        <v>3408</v>
      </c>
      <c r="F179" s="22">
        <v>204.5</v>
      </c>
      <c r="G179" s="22">
        <v>10</v>
      </c>
      <c r="H179" s="22">
        <v>215.6</v>
      </c>
      <c r="I179" s="23">
        <v>0.436</v>
      </c>
      <c r="J179" s="23">
        <v>3.1E-2</v>
      </c>
    </row>
    <row r="180" spans="1:10">
      <c r="A180" s="19" t="s">
        <v>47</v>
      </c>
      <c r="B180" s="1" t="s">
        <v>43</v>
      </c>
      <c r="C180" s="1" t="s">
        <v>29</v>
      </c>
      <c r="D180" s="1" t="s">
        <v>32</v>
      </c>
      <c r="E180" s="16">
        <v>8236</v>
      </c>
      <c r="F180" s="17">
        <v>205.9</v>
      </c>
      <c r="G180" s="17">
        <v>16.399999999999999</v>
      </c>
      <c r="H180" s="17">
        <v>212.8</v>
      </c>
      <c r="I180" s="18">
        <v>0.44600000000000001</v>
      </c>
      <c r="J180" s="18">
        <v>3.7999999999999999E-2</v>
      </c>
    </row>
    <row r="181" spans="1:10">
      <c r="A181" s="20" t="s">
        <v>47</v>
      </c>
      <c r="B181" s="3" t="s">
        <v>43</v>
      </c>
      <c r="C181" s="3" t="s">
        <v>29</v>
      </c>
      <c r="D181" s="3" t="s">
        <v>33</v>
      </c>
      <c r="E181" s="21">
        <v>6720</v>
      </c>
      <c r="F181" s="22">
        <v>100.8</v>
      </c>
      <c r="G181" s="22">
        <v>7</v>
      </c>
      <c r="H181" s="22">
        <v>101.6</v>
      </c>
      <c r="I181" s="23">
        <v>0.57999999999999996</v>
      </c>
      <c r="J181" s="23">
        <v>4.9000000000000002E-2</v>
      </c>
    </row>
    <row r="182" spans="1:10">
      <c r="A182" s="19" t="s">
        <v>47</v>
      </c>
      <c r="B182" s="1" t="s">
        <v>43</v>
      </c>
      <c r="C182" s="1" t="s">
        <v>34</v>
      </c>
      <c r="D182" s="1" t="s">
        <v>30</v>
      </c>
      <c r="E182" s="16">
        <v>2782</v>
      </c>
      <c r="F182" s="17">
        <v>236.5</v>
      </c>
      <c r="G182" s="17">
        <v>16.8</v>
      </c>
      <c r="H182" s="17">
        <v>212.5</v>
      </c>
      <c r="I182" s="18">
        <v>0.39900000000000002</v>
      </c>
      <c r="J182" s="18">
        <v>3.7999999999999999E-2</v>
      </c>
    </row>
    <row r="183" spans="1:10">
      <c r="A183" s="20" t="s">
        <v>47</v>
      </c>
      <c r="B183" s="3" t="s">
        <v>43</v>
      </c>
      <c r="C183" s="3" t="s">
        <v>34</v>
      </c>
      <c r="D183" s="3" t="s">
        <v>31</v>
      </c>
      <c r="E183" s="21">
        <v>3103</v>
      </c>
      <c r="F183" s="22">
        <v>186.2</v>
      </c>
      <c r="G183" s="22">
        <v>11.4</v>
      </c>
      <c r="H183" s="22">
        <v>157.9</v>
      </c>
      <c r="I183" s="23">
        <v>0.41499999999999998</v>
      </c>
      <c r="J183" s="23">
        <v>6.9000000000000006E-2</v>
      </c>
    </row>
    <row r="184" spans="1:10">
      <c r="A184" s="19" t="s">
        <v>47</v>
      </c>
      <c r="B184" s="1" t="s">
        <v>43</v>
      </c>
      <c r="C184" s="1" t="s">
        <v>34</v>
      </c>
      <c r="D184" s="1" t="s">
        <v>32</v>
      </c>
      <c r="E184" s="16">
        <v>7280</v>
      </c>
      <c r="F184" s="17">
        <v>182</v>
      </c>
      <c r="G184" s="17">
        <v>11.9</v>
      </c>
      <c r="H184" s="17">
        <v>156.1</v>
      </c>
      <c r="I184" s="18">
        <v>0.495</v>
      </c>
      <c r="J184" s="18">
        <v>5.5E-2</v>
      </c>
    </row>
    <row r="185" spans="1:10">
      <c r="A185" s="20" t="s">
        <v>47</v>
      </c>
      <c r="B185" s="3" t="s">
        <v>43</v>
      </c>
      <c r="C185" s="3" t="s">
        <v>34</v>
      </c>
      <c r="D185" s="3" t="s">
        <v>33</v>
      </c>
      <c r="E185" s="21">
        <v>7000</v>
      </c>
      <c r="F185" s="22">
        <v>105</v>
      </c>
      <c r="G185" s="22">
        <v>4.5999999999999996</v>
      </c>
      <c r="H185" s="22">
        <v>89.7</v>
      </c>
      <c r="I185" s="23">
        <v>0.55700000000000005</v>
      </c>
      <c r="J185" s="23">
        <v>7.4999999999999997E-2</v>
      </c>
    </row>
    <row r="186" spans="1:10">
      <c r="A186" s="19" t="s">
        <v>47</v>
      </c>
      <c r="B186" s="1" t="s">
        <v>43</v>
      </c>
      <c r="C186" s="1" t="s">
        <v>35</v>
      </c>
      <c r="D186" s="1" t="s">
        <v>30</v>
      </c>
      <c r="E186" s="16">
        <v>1716</v>
      </c>
      <c r="F186" s="17">
        <v>145.9</v>
      </c>
      <c r="G186" s="17">
        <v>11.5</v>
      </c>
      <c r="H186" s="17">
        <v>178.1</v>
      </c>
      <c r="I186" s="18">
        <v>0.34200000000000003</v>
      </c>
      <c r="J186" s="18">
        <v>9.8000000000000004E-2</v>
      </c>
    </row>
    <row r="187" spans="1:10">
      <c r="A187" s="20" t="s">
        <v>47</v>
      </c>
      <c r="B187" s="3" t="s">
        <v>43</v>
      </c>
      <c r="C187" s="3" t="s">
        <v>35</v>
      </c>
      <c r="D187" s="3" t="s">
        <v>31</v>
      </c>
      <c r="E187" s="21">
        <v>1733</v>
      </c>
      <c r="F187" s="22">
        <v>104</v>
      </c>
      <c r="G187" s="22">
        <v>6.5</v>
      </c>
      <c r="H187" s="22">
        <v>129.69999999999999</v>
      </c>
      <c r="I187" s="23">
        <v>0.442</v>
      </c>
      <c r="J187" s="23">
        <v>0.126</v>
      </c>
    </row>
    <row r="188" spans="1:10">
      <c r="A188" s="19" t="s">
        <v>47</v>
      </c>
      <c r="B188" s="1" t="s">
        <v>43</v>
      </c>
      <c r="C188" s="1" t="s">
        <v>35</v>
      </c>
      <c r="D188" s="1" t="s">
        <v>32</v>
      </c>
      <c r="E188" s="16">
        <v>4108</v>
      </c>
      <c r="F188" s="17">
        <v>102.7</v>
      </c>
      <c r="G188" s="17">
        <v>7.6</v>
      </c>
      <c r="H188" s="17">
        <v>128.69999999999999</v>
      </c>
      <c r="I188" s="18">
        <v>0.48099999999999998</v>
      </c>
      <c r="J188" s="18">
        <v>0.108</v>
      </c>
    </row>
    <row r="189" spans="1:10">
      <c r="A189" s="20" t="s">
        <v>47</v>
      </c>
      <c r="B189" s="3" t="s">
        <v>43</v>
      </c>
      <c r="C189" s="3" t="s">
        <v>35</v>
      </c>
      <c r="D189" s="3" t="s">
        <v>36</v>
      </c>
      <c r="E189" s="21">
        <v>3606</v>
      </c>
      <c r="F189" s="22">
        <v>54.1</v>
      </c>
      <c r="G189" s="22">
        <v>3.8</v>
      </c>
      <c r="H189" s="22">
        <v>66</v>
      </c>
      <c r="I189" s="23">
        <v>0.58199999999999996</v>
      </c>
      <c r="J189" s="23">
        <v>9.2999999999999999E-2</v>
      </c>
    </row>
    <row r="190" spans="1:10">
      <c r="A190" s="19" t="s">
        <v>47</v>
      </c>
      <c r="B190" s="1" t="s">
        <v>43</v>
      </c>
      <c r="C190" s="1" t="s">
        <v>37</v>
      </c>
      <c r="D190" s="1" t="s">
        <v>30</v>
      </c>
      <c r="E190" s="16">
        <v>2104</v>
      </c>
      <c r="F190" s="17">
        <v>178.9</v>
      </c>
      <c r="G190" s="17">
        <v>10.7</v>
      </c>
      <c r="H190" s="17">
        <v>180.6</v>
      </c>
      <c r="I190" s="18">
        <v>0.36799999999999999</v>
      </c>
      <c r="J190" s="18">
        <v>0.06</v>
      </c>
    </row>
    <row r="191" spans="1:10">
      <c r="A191" s="20" t="s">
        <v>47</v>
      </c>
      <c r="B191" s="3" t="s">
        <v>43</v>
      </c>
      <c r="C191" s="3" t="s">
        <v>37</v>
      </c>
      <c r="D191" s="3" t="s">
        <v>31</v>
      </c>
      <c r="E191" s="21">
        <v>2080</v>
      </c>
      <c r="F191" s="22">
        <v>124.8</v>
      </c>
      <c r="G191" s="22">
        <v>9.9</v>
      </c>
      <c r="H191" s="22">
        <v>134.6</v>
      </c>
      <c r="I191" s="23">
        <v>0.39100000000000001</v>
      </c>
      <c r="J191" s="23">
        <v>8.5999999999999993E-2</v>
      </c>
    </row>
    <row r="192" spans="1:10">
      <c r="A192" s="19" t="s">
        <v>47</v>
      </c>
      <c r="B192" s="1" t="s">
        <v>43</v>
      </c>
      <c r="C192" s="1" t="s">
        <v>37</v>
      </c>
      <c r="D192" s="1" t="s">
        <v>32</v>
      </c>
      <c r="E192" s="16">
        <v>4488</v>
      </c>
      <c r="F192" s="17">
        <v>112.2</v>
      </c>
      <c r="G192" s="17">
        <v>7</v>
      </c>
      <c r="H192" s="17">
        <v>115.5</v>
      </c>
      <c r="I192" s="18">
        <v>0.501</v>
      </c>
      <c r="J192" s="18">
        <v>7.0999999999999994E-2</v>
      </c>
    </row>
    <row r="193" spans="1:10">
      <c r="A193" s="20" t="s">
        <v>47</v>
      </c>
      <c r="B193" s="3" t="s">
        <v>43</v>
      </c>
      <c r="C193" s="3" t="s">
        <v>37</v>
      </c>
      <c r="D193" s="3" t="s">
        <v>33</v>
      </c>
      <c r="E193" s="21">
        <v>4260</v>
      </c>
      <c r="F193" s="22">
        <v>63.9</v>
      </c>
      <c r="G193" s="22">
        <v>4.5</v>
      </c>
      <c r="H193" s="22">
        <v>64</v>
      </c>
      <c r="I193" s="23">
        <v>0.53100000000000003</v>
      </c>
      <c r="J193" s="23">
        <v>3.4000000000000002E-2</v>
      </c>
    </row>
    <row r="194" spans="1:10">
      <c r="A194" s="19" t="s">
        <v>47</v>
      </c>
      <c r="B194" s="1" t="s">
        <v>44</v>
      </c>
      <c r="C194" s="1" t="s">
        <v>29</v>
      </c>
      <c r="D194" s="1" t="s">
        <v>49</v>
      </c>
      <c r="E194" s="16">
        <v>1368</v>
      </c>
      <c r="F194" s="17">
        <v>116.3</v>
      </c>
      <c r="G194" s="17">
        <v>4.9000000000000004</v>
      </c>
      <c r="H194" s="17">
        <v>123.7</v>
      </c>
      <c r="I194" s="18">
        <v>0.37</v>
      </c>
      <c r="J194" s="18">
        <v>0.06</v>
      </c>
    </row>
    <row r="195" spans="1:10">
      <c r="A195" s="20" t="s">
        <v>47</v>
      </c>
      <c r="B195" s="3" t="s">
        <v>44</v>
      </c>
      <c r="C195" s="3" t="s">
        <v>29</v>
      </c>
      <c r="D195" s="3" t="s">
        <v>31</v>
      </c>
      <c r="E195" s="21">
        <v>1768</v>
      </c>
      <c r="F195" s="22">
        <v>106.1</v>
      </c>
      <c r="G195" s="22">
        <v>6</v>
      </c>
      <c r="H195" s="22">
        <v>112</v>
      </c>
      <c r="I195" s="23">
        <v>0.42299999999999999</v>
      </c>
      <c r="J195" s="23">
        <v>3.5000000000000003E-2</v>
      </c>
    </row>
    <row r="196" spans="1:10">
      <c r="A196" s="19" t="s">
        <v>47</v>
      </c>
      <c r="B196" s="1" t="s">
        <v>44</v>
      </c>
      <c r="C196" s="1" t="s">
        <v>29</v>
      </c>
      <c r="D196" s="1" t="s">
        <v>32</v>
      </c>
      <c r="E196" s="16">
        <v>3592</v>
      </c>
      <c r="F196" s="17"/>
      <c r="G196" s="17">
        <v>4.5999999999999996</v>
      </c>
      <c r="H196" s="17">
        <v>92</v>
      </c>
      <c r="I196" s="18">
        <v>0.45600000000000002</v>
      </c>
      <c r="J196" s="18">
        <v>6.0999999999999999E-2</v>
      </c>
    </row>
    <row r="197" spans="1:10">
      <c r="A197" s="20" t="s">
        <v>47</v>
      </c>
      <c r="B197" s="3" t="s">
        <v>44</v>
      </c>
      <c r="C197" s="3" t="s">
        <v>29</v>
      </c>
      <c r="D197" s="3" t="s">
        <v>33</v>
      </c>
      <c r="E197" s="21">
        <v>3513</v>
      </c>
      <c r="F197" s="22">
        <v>52.7</v>
      </c>
      <c r="G197" s="22">
        <v>3.2</v>
      </c>
      <c r="H197" s="22">
        <v>54.3</v>
      </c>
      <c r="I197" s="23">
        <v>0.57699999999999996</v>
      </c>
      <c r="J197" s="23">
        <v>6.8000000000000005E-2</v>
      </c>
    </row>
    <row r="198" spans="1:10">
      <c r="A198" s="19" t="s">
        <v>47</v>
      </c>
      <c r="B198" s="1" t="s">
        <v>44</v>
      </c>
      <c r="C198" s="1" t="s">
        <v>34</v>
      </c>
      <c r="D198" s="1" t="s">
        <v>30</v>
      </c>
      <c r="E198" s="16">
        <v>1519</v>
      </c>
      <c r="F198" s="17">
        <v>129.19999999999999</v>
      </c>
      <c r="G198" s="17">
        <v>5.5</v>
      </c>
      <c r="H198" s="17">
        <v>115.6</v>
      </c>
      <c r="I198" s="18">
        <v>0.38800000000000001</v>
      </c>
      <c r="J198" s="18">
        <v>7.3999999999999996E-2</v>
      </c>
    </row>
    <row r="199" spans="1:10">
      <c r="A199" s="20" t="s">
        <v>47</v>
      </c>
      <c r="B199" s="3" t="s">
        <v>44</v>
      </c>
      <c r="C199" s="3" t="s">
        <v>34</v>
      </c>
      <c r="D199" s="3" t="s">
        <v>31</v>
      </c>
      <c r="E199" s="21">
        <v>1391</v>
      </c>
      <c r="F199" s="22">
        <v>83.5</v>
      </c>
      <c r="G199" s="22">
        <v>3.6</v>
      </c>
      <c r="H199" s="22">
        <v>73.2</v>
      </c>
      <c r="I199" s="23">
        <v>0.42899999999999999</v>
      </c>
      <c r="J199" s="23">
        <v>5.7000000000000002E-2</v>
      </c>
    </row>
    <row r="200" spans="1:10">
      <c r="A200" s="19" t="s">
        <v>47</v>
      </c>
      <c r="B200" s="1" t="s">
        <v>44</v>
      </c>
      <c r="C200" s="1" t="s">
        <v>34</v>
      </c>
      <c r="D200" s="1" t="s">
        <v>32</v>
      </c>
      <c r="E200" s="16">
        <v>2972</v>
      </c>
      <c r="F200" s="17">
        <v>74.3</v>
      </c>
      <c r="G200" s="17">
        <v>5.2</v>
      </c>
      <c r="H200" s="17">
        <v>66.7</v>
      </c>
      <c r="I200" s="18">
        <v>0.497</v>
      </c>
      <c r="J200" s="18">
        <v>3.6999999999999998E-2</v>
      </c>
    </row>
    <row r="201" spans="1:10">
      <c r="A201" s="20" t="s">
        <v>47</v>
      </c>
      <c r="B201" s="3" t="s">
        <v>44</v>
      </c>
      <c r="C201" s="3" t="s">
        <v>34</v>
      </c>
      <c r="D201" s="3" t="s">
        <v>33</v>
      </c>
      <c r="E201" s="21">
        <v>3093</v>
      </c>
      <c r="F201" s="22">
        <v>46.4</v>
      </c>
      <c r="G201" s="22">
        <v>2.2000000000000002</v>
      </c>
      <c r="H201" s="22">
        <v>42.3</v>
      </c>
      <c r="I201" s="23">
        <v>0.57299999999999995</v>
      </c>
      <c r="J201" s="23">
        <v>6.0999999999999999E-2</v>
      </c>
    </row>
    <row r="202" spans="1:10">
      <c r="A202" s="19" t="s">
        <v>47</v>
      </c>
      <c r="B202" s="1" t="s">
        <v>44</v>
      </c>
      <c r="C202" s="1" t="s">
        <v>35</v>
      </c>
      <c r="D202" s="1" t="s">
        <v>30</v>
      </c>
      <c r="E202" s="16">
        <v>1042</v>
      </c>
      <c r="F202" s="17">
        <v>88.6</v>
      </c>
      <c r="G202" s="17">
        <v>4.0999999999999996</v>
      </c>
      <c r="H202" s="17">
        <v>89.5</v>
      </c>
      <c r="I202" s="18">
        <v>0.34200000000000003</v>
      </c>
      <c r="J202" s="18">
        <v>7.6999999999999999E-2</v>
      </c>
    </row>
    <row r="203" spans="1:10">
      <c r="A203" s="20" t="s">
        <v>47</v>
      </c>
      <c r="B203" s="3" t="s">
        <v>44</v>
      </c>
      <c r="C203" s="3" t="s">
        <v>35</v>
      </c>
      <c r="D203" s="3" t="s">
        <v>31</v>
      </c>
      <c r="E203" s="21">
        <v>1213</v>
      </c>
      <c r="F203" s="22">
        <v>72.8</v>
      </c>
      <c r="G203" s="22">
        <v>5.2</v>
      </c>
      <c r="H203" s="22">
        <v>73</v>
      </c>
      <c r="I203" s="23">
        <v>0.40200000000000002</v>
      </c>
      <c r="J203" s="23">
        <v>7.8E-2</v>
      </c>
    </row>
    <row r="204" spans="1:10">
      <c r="A204" s="19" t="s">
        <v>47</v>
      </c>
      <c r="B204" s="1" t="s">
        <v>44</v>
      </c>
      <c r="C204" s="1" t="s">
        <v>35</v>
      </c>
      <c r="D204" s="1" t="s">
        <v>32</v>
      </c>
      <c r="E204" s="16">
        <v>1856</v>
      </c>
      <c r="F204" s="17">
        <v>46.4</v>
      </c>
      <c r="G204" s="17">
        <v>3.2</v>
      </c>
      <c r="H204" s="17">
        <v>48.6</v>
      </c>
      <c r="I204" s="18">
        <v>0.47599999999999998</v>
      </c>
      <c r="J204" s="18">
        <v>3.5000000000000003E-2</v>
      </c>
    </row>
    <row r="205" spans="1:10">
      <c r="A205" s="20" t="s">
        <v>47</v>
      </c>
      <c r="B205" s="3" t="s">
        <v>44</v>
      </c>
      <c r="C205" s="3" t="s">
        <v>35</v>
      </c>
      <c r="D205" s="3" t="s">
        <v>33</v>
      </c>
      <c r="E205" s="21">
        <v>1893</v>
      </c>
      <c r="F205" s="22">
        <v>28.4</v>
      </c>
      <c r="G205" s="22">
        <v>1.7</v>
      </c>
      <c r="H205" s="22">
        <v>29.7</v>
      </c>
      <c r="I205" s="23">
        <v>0.53</v>
      </c>
      <c r="J205" s="23">
        <v>5.1999999999999998E-2</v>
      </c>
    </row>
    <row r="206" spans="1:10">
      <c r="A206" s="19" t="s">
        <v>47</v>
      </c>
      <c r="B206" s="1" t="s">
        <v>44</v>
      </c>
      <c r="C206" s="1" t="s">
        <v>37</v>
      </c>
      <c r="D206" s="1" t="s">
        <v>30</v>
      </c>
      <c r="E206" s="16">
        <v>752</v>
      </c>
      <c r="F206" s="17">
        <v>64</v>
      </c>
      <c r="G206" s="17">
        <v>4</v>
      </c>
      <c r="H206" s="17">
        <v>67.7</v>
      </c>
      <c r="I206" s="18">
        <v>0.36099999999999999</v>
      </c>
      <c r="J206" s="18">
        <v>4.3999999999999997E-2</v>
      </c>
    </row>
    <row r="207" spans="1:10">
      <c r="A207" s="20" t="s">
        <v>47</v>
      </c>
      <c r="B207" s="3" t="s">
        <v>44</v>
      </c>
      <c r="C207" s="3" t="s">
        <v>37</v>
      </c>
      <c r="D207" s="3" t="s">
        <v>31</v>
      </c>
      <c r="E207" s="21">
        <v>821</v>
      </c>
      <c r="F207" s="22">
        <v>49.3</v>
      </c>
      <c r="G207" s="22">
        <v>3.7</v>
      </c>
      <c r="H207" s="22">
        <v>50.3</v>
      </c>
      <c r="I207" s="23">
        <v>0.41099999999999998</v>
      </c>
      <c r="J207" s="23">
        <v>5.8000000000000003E-2</v>
      </c>
    </row>
    <row r="208" spans="1:10">
      <c r="A208" s="19" t="s">
        <v>47</v>
      </c>
      <c r="B208" s="1" t="s">
        <v>44</v>
      </c>
      <c r="C208" s="1" t="s">
        <v>37</v>
      </c>
      <c r="D208" s="1" t="s">
        <v>32</v>
      </c>
      <c r="E208" s="16">
        <v>1672</v>
      </c>
      <c r="F208" s="17">
        <v>41.8</v>
      </c>
      <c r="G208" s="17">
        <v>3.2</v>
      </c>
      <c r="H208" s="17">
        <v>44.7</v>
      </c>
      <c r="I208" s="18">
        <v>0.51300000000000001</v>
      </c>
      <c r="J208" s="18">
        <v>6.3E-2</v>
      </c>
    </row>
    <row r="209" spans="1:10">
      <c r="A209" s="20" t="s">
        <v>47</v>
      </c>
      <c r="B209" s="3" t="s">
        <v>44</v>
      </c>
      <c r="C209" s="3" t="s">
        <v>37</v>
      </c>
      <c r="D209" s="3" t="s">
        <v>33</v>
      </c>
      <c r="E209" s="21">
        <v>1853</v>
      </c>
      <c r="F209" s="22">
        <v>27.8</v>
      </c>
      <c r="G209" s="22">
        <v>1.6</v>
      </c>
      <c r="H209" s="22">
        <v>28.5</v>
      </c>
      <c r="I209" s="23">
        <v>0.56799999999999995</v>
      </c>
      <c r="J209" s="23">
        <v>5.5E-2</v>
      </c>
    </row>
    <row r="210" spans="1:10">
      <c r="A210" s="19" t="s">
        <v>47</v>
      </c>
      <c r="B210" s="1" t="s">
        <v>46</v>
      </c>
      <c r="C210" s="1" t="s">
        <v>29</v>
      </c>
      <c r="D210" s="1" t="s">
        <v>30</v>
      </c>
      <c r="E210" s="16">
        <v>1380</v>
      </c>
      <c r="F210" s="17">
        <v>117.3</v>
      </c>
      <c r="G210" s="17">
        <v>5.0999999999999996</v>
      </c>
      <c r="H210" s="17">
        <v>107.9</v>
      </c>
      <c r="I210" s="18">
        <v>0.39200000000000002</v>
      </c>
      <c r="J210" s="18">
        <v>0.06</v>
      </c>
    </row>
    <row r="211" spans="1:10">
      <c r="A211" s="20" t="s">
        <v>47</v>
      </c>
      <c r="B211" s="3" t="s">
        <v>46</v>
      </c>
      <c r="C211" s="3" t="s">
        <v>29</v>
      </c>
      <c r="D211" s="3" t="s">
        <v>31</v>
      </c>
      <c r="E211" s="21">
        <v>1491</v>
      </c>
      <c r="F211" s="22">
        <v>89.5</v>
      </c>
      <c r="G211" s="22">
        <v>6.5</v>
      </c>
      <c r="H211" s="22">
        <v>86.1</v>
      </c>
      <c r="I211" s="23">
        <v>0.38600000000000001</v>
      </c>
      <c r="J211" s="23">
        <v>8.6999999999999994E-2</v>
      </c>
    </row>
    <row r="212" spans="1:10">
      <c r="A212" s="19" t="s">
        <v>47</v>
      </c>
      <c r="B212" s="1" t="s">
        <v>46</v>
      </c>
      <c r="C212" s="1" t="s">
        <v>29</v>
      </c>
      <c r="D212" s="1" t="s">
        <v>32</v>
      </c>
      <c r="E212" s="16">
        <v>3204</v>
      </c>
      <c r="F212" s="17">
        <v>80.099999999999994</v>
      </c>
      <c r="G212" s="17">
        <v>4.0999999999999996</v>
      </c>
      <c r="H212" s="17">
        <v>76.400000000000006</v>
      </c>
      <c r="I212" s="18">
        <v>0.48399999999999999</v>
      </c>
      <c r="J212" s="18">
        <v>0.05</v>
      </c>
    </row>
    <row r="213" spans="1:10">
      <c r="A213" s="20" t="s">
        <v>47</v>
      </c>
      <c r="B213" s="3" t="s">
        <v>46</v>
      </c>
      <c r="C213" s="3" t="s">
        <v>29</v>
      </c>
      <c r="D213" s="3" t="s">
        <v>33</v>
      </c>
      <c r="E213" s="21">
        <v>2553</v>
      </c>
      <c r="F213" s="22">
        <v>38.299999999999997</v>
      </c>
      <c r="G213" s="22">
        <v>1.8</v>
      </c>
      <c r="H213" s="22">
        <v>35.799999999999997</v>
      </c>
      <c r="I213" s="23">
        <v>0.56000000000000005</v>
      </c>
      <c r="J213" s="23">
        <v>4.8000000000000001E-2</v>
      </c>
    </row>
    <row r="214" spans="1:10">
      <c r="A214" s="19" t="s">
        <v>47</v>
      </c>
      <c r="B214" s="1" t="s">
        <v>46</v>
      </c>
      <c r="C214" s="1" t="s">
        <v>34</v>
      </c>
      <c r="D214" s="1" t="s">
        <v>30</v>
      </c>
      <c r="E214" s="16">
        <v>1330</v>
      </c>
      <c r="F214" s="17">
        <v>113.1</v>
      </c>
      <c r="G214" s="17">
        <v>7.2</v>
      </c>
      <c r="H214" s="17">
        <v>89</v>
      </c>
      <c r="I214" s="18">
        <v>0.33600000000000002</v>
      </c>
      <c r="J214" s="18">
        <v>7.5999999999999998E-2</v>
      </c>
    </row>
    <row r="215" spans="1:10">
      <c r="A215" s="20" t="s">
        <v>47</v>
      </c>
      <c r="B215" s="3" t="s">
        <v>46</v>
      </c>
      <c r="C215" s="3" t="s">
        <v>34</v>
      </c>
      <c r="D215" s="3" t="s">
        <v>31</v>
      </c>
      <c r="E215" s="21">
        <v>1676</v>
      </c>
      <c r="F215" s="22"/>
      <c r="G215" s="22">
        <v>7.1</v>
      </c>
      <c r="H215" s="22">
        <v>77.599999999999994</v>
      </c>
      <c r="I215" s="23">
        <v>0.41299999999999998</v>
      </c>
      <c r="J215" s="23">
        <v>0.03</v>
      </c>
    </row>
    <row r="216" spans="1:10">
      <c r="A216" s="19" t="s">
        <v>47</v>
      </c>
      <c r="B216" s="1" t="s">
        <v>46</v>
      </c>
      <c r="C216" s="1" t="s">
        <v>34</v>
      </c>
      <c r="D216" s="1" t="s">
        <v>32</v>
      </c>
      <c r="E216" s="16">
        <v>2704</v>
      </c>
      <c r="F216" s="17">
        <v>67.599999999999994</v>
      </c>
      <c r="G216" s="17">
        <v>3.6</v>
      </c>
      <c r="H216" s="17">
        <v>54.6</v>
      </c>
      <c r="I216" s="18">
        <v>0.51600000000000001</v>
      </c>
      <c r="J216" s="18">
        <v>8.3000000000000004E-2</v>
      </c>
    </row>
    <row r="217" spans="1:10">
      <c r="A217" s="20" t="s">
        <v>47</v>
      </c>
      <c r="B217" s="3" t="s">
        <v>46</v>
      </c>
      <c r="C217" s="3" t="s">
        <v>34</v>
      </c>
      <c r="D217" s="3" t="s">
        <v>33</v>
      </c>
      <c r="E217" s="21">
        <v>2313</v>
      </c>
      <c r="F217" s="22">
        <v>34.700000000000003</v>
      </c>
      <c r="G217" s="22">
        <v>2.2999999999999998</v>
      </c>
      <c r="H217" s="22">
        <v>28.1</v>
      </c>
      <c r="I217" s="23">
        <v>0.51800000000000002</v>
      </c>
      <c r="J217" s="23">
        <v>7.3999999999999996E-2</v>
      </c>
    </row>
    <row r="218" spans="1:10">
      <c r="A218" s="19" t="s">
        <v>47</v>
      </c>
      <c r="B218" s="1" t="s">
        <v>46</v>
      </c>
      <c r="C218" s="1" t="s">
        <v>35</v>
      </c>
      <c r="D218" s="1" t="s">
        <v>30</v>
      </c>
      <c r="E218" s="16">
        <v>920</v>
      </c>
      <c r="F218" s="17">
        <v>78.2</v>
      </c>
      <c r="G218" s="17">
        <v>3.9</v>
      </c>
      <c r="H218" s="17">
        <v>72.599999999999994</v>
      </c>
      <c r="I218" s="18">
        <v>0.4</v>
      </c>
      <c r="J218" s="18">
        <v>3.4000000000000002E-2</v>
      </c>
    </row>
    <row r="219" spans="1:10">
      <c r="A219" s="20" t="s">
        <v>47</v>
      </c>
      <c r="B219" s="3" t="s">
        <v>46</v>
      </c>
      <c r="C219" s="3" t="s">
        <v>35</v>
      </c>
      <c r="D219" s="3" t="s">
        <v>31</v>
      </c>
      <c r="E219" s="21">
        <v>1080</v>
      </c>
      <c r="F219" s="22">
        <v>64.8</v>
      </c>
      <c r="G219" s="22">
        <v>2.8</v>
      </c>
      <c r="H219" s="22">
        <v>62.1</v>
      </c>
      <c r="I219" s="23">
        <v>0.42199999999999999</v>
      </c>
      <c r="J219" s="23">
        <v>8.4000000000000005E-2</v>
      </c>
    </row>
    <row r="220" spans="1:10">
      <c r="A220" s="19" t="s">
        <v>47</v>
      </c>
      <c r="B220" s="1" t="s">
        <v>46</v>
      </c>
      <c r="C220" s="1" t="s">
        <v>35</v>
      </c>
      <c r="D220" s="1" t="s">
        <v>32</v>
      </c>
      <c r="E220" s="16">
        <v>2112</v>
      </c>
      <c r="F220" s="17">
        <v>52.8</v>
      </c>
      <c r="G220" s="17">
        <v>2.9</v>
      </c>
      <c r="H220" s="17">
        <v>50.9</v>
      </c>
      <c r="I220" s="18">
        <v>0.44800000000000001</v>
      </c>
      <c r="J220" s="18">
        <v>3.5000000000000003E-2</v>
      </c>
    </row>
    <row r="221" spans="1:10">
      <c r="A221" s="20" t="s">
        <v>47</v>
      </c>
      <c r="B221" s="3" t="s">
        <v>46</v>
      </c>
      <c r="C221" s="3" t="s">
        <v>35</v>
      </c>
      <c r="D221" s="3" t="s">
        <v>33</v>
      </c>
      <c r="E221" s="21">
        <v>1640</v>
      </c>
      <c r="F221" s="22">
        <v>24.6</v>
      </c>
      <c r="G221" s="22">
        <v>1.8</v>
      </c>
      <c r="H221" s="22">
        <v>22.1</v>
      </c>
      <c r="I221" s="23">
        <v>0.54500000000000004</v>
      </c>
      <c r="J221" s="23">
        <v>6.4000000000000001E-2</v>
      </c>
    </row>
    <row r="222" spans="1:10">
      <c r="A222" s="19" t="s">
        <v>47</v>
      </c>
      <c r="B222" s="1" t="s">
        <v>46</v>
      </c>
      <c r="C222" s="1" t="s">
        <v>37</v>
      </c>
      <c r="D222" s="1" t="s">
        <v>30</v>
      </c>
      <c r="E222" s="16">
        <v>909</v>
      </c>
      <c r="F222" s="17">
        <v>77.3</v>
      </c>
      <c r="G222" s="17">
        <v>3.8</v>
      </c>
      <c r="H222" s="17">
        <v>70.400000000000006</v>
      </c>
      <c r="I222" s="18">
        <v>0.38400000000000001</v>
      </c>
      <c r="J222" s="18">
        <v>4.9000000000000002E-2</v>
      </c>
    </row>
    <row r="223" spans="1:10">
      <c r="A223" s="20" t="s">
        <v>47</v>
      </c>
      <c r="B223" s="3" t="s">
        <v>46</v>
      </c>
      <c r="C223" s="3" t="s">
        <v>37</v>
      </c>
      <c r="D223" s="3" t="s">
        <v>31</v>
      </c>
      <c r="E223" s="21">
        <v>941</v>
      </c>
      <c r="F223" s="22">
        <v>56.5</v>
      </c>
      <c r="G223" s="22">
        <v>3.9</v>
      </c>
      <c r="H223" s="22">
        <v>51.7</v>
      </c>
      <c r="I223" s="23">
        <v>0.38600000000000001</v>
      </c>
      <c r="J223" s="23">
        <v>4.5999999999999999E-2</v>
      </c>
    </row>
    <row r="224" spans="1:10">
      <c r="A224" s="19" t="s">
        <v>47</v>
      </c>
      <c r="B224" s="1" t="s">
        <v>46</v>
      </c>
      <c r="C224" s="1" t="s">
        <v>37</v>
      </c>
      <c r="D224" s="1" t="s">
        <v>32</v>
      </c>
      <c r="E224" s="16">
        <v>1588</v>
      </c>
      <c r="F224" s="17">
        <v>39.700000000000003</v>
      </c>
      <c r="G224" s="17">
        <v>2.8</v>
      </c>
      <c r="H224" s="17">
        <v>37.1</v>
      </c>
      <c r="I224" s="18">
        <v>0.45300000000000001</v>
      </c>
      <c r="J224" s="18">
        <v>3.9E-2</v>
      </c>
    </row>
    <row r="225" spans="1:10">
      <c r="A225" s="20" t="s">
        <v>47</v>
      </c>
      <c r="B225" s="3" t="s">
        <v>46</v>
      </c>
      <c r="C225" s="3" t="s">
        <v>37</v>
      </c>
      <c r="D225" s="3" t="s">
        <v>33</v>
      </c>
      <c r="E225" s="21">
        <v>1600</v>
      </c>
      <c r="F225" s="22">
        <v>24</v>
      </c>
      <c r="G225" s="22">
        <v>1.4</v>
      </c>
      <c r="H225" s="22">
        <v>22.3</v>
      </c>
      <c r="I225" s="23">
        <v>0.52700000000000002</v>
      </c>
      <c r="J225" s="23">
        <v>8.7999999999999995E-2</v>
      </c>
    </row>
    <row r="226" spans="1:10">
      <c r="A226" s="19" t="s">
        <v>50</v>
      </c>
      <c r="B226" s="1" t="s">
        <v>28</v>
      </c>
      <c r="C226" s="1" t="s">
        <v>29</v>
      </c>
      <c r="D226" s="1" t="s">
        <v>30</v>
      </c>
      <c r="E226" s="16">
        <v>4869</v>
      </c>
      <c r="F226" s="17">
        <v>413.9</v>
      </c>
      <c r="G226" s="17">
        <v>20.9</v>
      </c>
      <c r="H226" s="17">
        <v>342.5</v>
      </c>
      <c r="I226" s="18">
        <v>0.375</v>
      </c>
      <c r="J226" s="18">
        <v>3.9E-2</v>
      </c>
    </row>
    <row r="227" spans="1:10">
      <c r="A227" s="20" t="s">
        <v>50</v>
      </c>
      <c r="B227" s="3" t="s">
        <v>28</v>
      </c>
      <c r="C227" s="3" t="s">
        <v>29</v>
      </c>
      <c r="D227" s="3" t="s">
        <v>31</v>
      </c>
      <c r="E227" s="21">
        <v>5175</v>
      </c>
      <c r="F227" s="22">
        <v>310.5</v>
      </c>
      <c r="G227" s="22">
        <v>21.1</v>
      </c>
      <c r="H227" s="22">
        <v>311.5</v>
      </c>
      <c r="I227" s="23">
        <v>0.40600000000000003</v>
      </c>
      <c r="J227" s="23">
        <v>0.08</v>
      </c>
    </row>
    <row r="228" spans="1:10">
      <c r="A228" s="19" t="s">
        <v>50</v>
      </c>
      <c r="B228" s="1" t="s">
        <v>28</v>
      </c>
      <c r="C228" s="1" t="s">
        <v>29</v>
      </c>
      <c r="D228" s="1" t="s">
        <v>32</v>
      </c>
      <c r="E228" s="16">
        <v>8120</v>
      </c>
      <c r="F228" s="17">
        <v>203</v>
      </c>
      <c r="G228" s="17">
        <v>10.1</v>
      </c>
      <c r="H228" s="17">
        <v>208.8</v>
      </c>
      <c r="I228" s="18">
        <v>0.49399999999999999</v>
      </c>
      <c r="J228" s="18">
        <v>6.0999999999999999E-2</v>
      </c>
    </row>
    <row r="229" spans="1:10">
      <c r="A229" s="20" t="s">
        <v>50</v>
      </c>
      <c r="B229" s="3" t="s">
        <v>28</v>
      </c>
      <c r="C229" s="3" t="s">
        <v>29</v>
      </c>
      <c r="D229" s="3" t="s">
        <v>33</v>
      </c>
      <c r="E229" s="21">
        <v>7953</v>
      </c>
      <c r="F229" s="22"/>
      <c r="G229" s="22">
        <v>9.5</v>
      </c>
      <c r="H229" s="22">
        <v>119.6</v>
      </c>
      <c r="I229" s="23">
        <v>0.54600000000000004</v>
      </c>
      <c r="J229" s="23">
        <v>5.3999999999999999E-2</v>
      </c>
    </row>
    <row r="230" spans="1:10">
      <c r="A230" s="19" t="s">
        <v>50</v>
      </c>
      <c r="B230" s="1" t="s">
        <v>28</v>
      </c>
      <c r="C230" s="1" t="s">
        <v>34</v>
      </c>
      <c r="D230" s="1" t="s">
        <v>30</v>
      </c>
      <c r="E230" s="16">
        <v>5037</v>
      </c>
      <c r="F230" s="17">
        <v>428.2</v>
      </c>
      <c r="G230" s="17">
        <v>21.4</v>
      </c>
      <c r="H230" s="17">
        <v>308.5</v>
      </c>
      <c r="I230" s="18">
        <v>0.33100000000000002</v>
      </c>
      <c r="J230" s="18">
        <v>7.8E-2</v>
      </c>
    </row>
    <row r="231" spans="1:10">
      <c r="A231" s="20" t="s">
        <v>50</v>
      </c>
      <c r="B231" s="3" t="s">
        <v>28</v>
      </c>
      <c r="C231" s="3" t="s">
        <v>34</v>
      </c>
      <c r="D231" s="3" t="s">
        <v>31</v>
      </c>
      <c r="E231" s="21">
        <v>3651</v>
      </c>
      <c r="F231" s="22">
        <v>219.1</v>
      </c>
      <c r="G231" s="22">
        <v>16</v>
      </c>
      <c r="H231" s="22">
        <v>200.3</v>
      </c>
      <c r="I231" s="23">
        <v>0.44600000000000001</v>
      </c>
      <c r="J231" s="23">
        <v>3.7999999999999999E-2</v>
      </c>
    </row>
    <row r="232" spans="1:10">
      <c r="A232" s="19" t="s">
        <v>50</v>
      </c>
      <c r="B232" s="1" t="s">
        <v>28</v>
      </c>
      <c r="C232" s="1" t="s">
        <v>34</v>
      </c>
      <c r="D232" s="1" t="s">
        <v>32</v>
      </c>
      <c r="E232" s="16">
        <v>8080</v>
      </c>
      <c r="F232" s="17">
        <v>202</v>
      </c>
      <c r="G232" s="17">
        <v>13.2</v>
      </c>
      <c r="H232" s="17">
        <v>180</v>
      </c>
      <c r="I232" s="18">
        <v>0.46100000000000002</v>
      </c>
      <c r="J232" s="18">
        <v>6.5000000000000002E-2</v>
      </c>
    </row>
    <row r="233" spans="1:10">
      <c r="A233" s="20" t="s">
        <v>50</v>
      </c>
      <c r="B233" s="3" t="s">
        <v>28</v>
      </c>
      <c r="C233" s="3" t="s">
        <v>34</v>
      </c>
      <c r="D233" s="3" t="s">
        <v>33</v>
      </c>
      <c r="E233" s="21">
        <v>8506</v>
      </c>
      <c r="F233" s="22">
        <v>127.6</v>
      </c>
      <c r="G233" s="22">
        <v>5.2</v>
      </c>
      <c r="H233" s="22">
        <v>108.7</v>
      </c>
      <c r="I233" s="23">
        <v>0.54500000000000004</v>
      </c>
      <c r="J233" s="23">
        <v>8.4000000000000005E-2</v>
      </c>
    </row>
    <row r="234" spans="1:10">
      <c r="A234" s="19" t="s">
        <v>50</v>
      </c>
      <c r="B234" s="1" t="s">
        <v>28</v>
      </c>
      <c r="C234" s="1" t="s">
        <v>35</v>
      </c>
      <c r="D234" s="1" t="s">
        <v>30</v>
      </c>
      <c r="E234" s="16">
        <v>2824</v>
      </c>
      <c r="F234" s="17">
        <v>240.1</v>
      </c>
      <c r="G234" s="17">
        <v>18.3</v>
      </c>
      <c r="H234" s="17">
        <v>209.9</v>
      </c>
      <c r="I234" s="18">
        <v>0.32300000000000001</v>
      </c>
      <c r="J234" s="18">
        <v>0.05</v>
      </c>
    </row>
    <row r="235" spans="1:10">
      <c r="A235" s="20" t="s">
        <v>50</v>
      </c>
      <c r="B235" s="3" t="s">
        <v>28</v>
      </c>
      <c r="C235" s="3" t="s">
        <v>35</v>
      </c>
      <c r="D235" s="3" t="s">
        <v>31</v>
      </c>
      <c r="E235" s="21">
        <v>2866</v>
      </c>
      <c r="F235" s="22">
        <v>172</v>
      </c>
      <c r="G235" s="22">
        <v>8</v>
      </c>
      <c r="H235" s="22">
        <v>179.9</v>
      </c>
      <c r="I235" s="23">
        <v>0.41199999999999998</v>
      </c>
      <c r="J235" s="23">
        <v>7.9000000000000001E-2</v>
      </c>
    </row>
    <row r="236" spans="1:10">
      <c r="A236" s="19" t="s">
        <v>50</v>
      </c>
      <c r="B236" s="1" t="s">
        <v>28</v>
      </c>
      <c r="C236" s="1" t="s">
        <v>35</v>
      </c>
      <c r="D236" s="1" t="s">
        <v>32</v>
      </c>
      <c r="E236" s="16">
        <v>4892</v>
      </c>
      <c r="F236" s="17">
        <v>122.3</v>
      </c>
      <c r="G236" s="17">
        <v>8.1999999999999993</v>
      </c>
      <c r="H236" s="17">
        <v>124</v>
      </c>
      <c r="I236" s="18">
        <v>0.45500000000000002</v>
      </c>
      <c r="J236" s="18">
        <v>4.2999999999999997E-2</v>
      </c>
    </row>
    <row r="237" spans="1:10">
      <c r="A237" s="20" t="s">
        <v>50</v>
      </c>
      <c r="B237" s="3" t="s">
        <v>28</v>
      </c>
      <c r="C237" s="3" t="s">
        <v>35</v>
      </c>
      <c r="D237" s="3" t="s">
        <v>33</v>
      </c>
      <c r="E237" s="21">
        <v>4926</v>
      </c>
      <c r="F237" s="22">
        <v>73.900000000000006</v>
      </c>
      <c r="G237" s="22">
        <v>5.6</v>
      </c>
      <c r="H237" s="22">
        <v>74.099999999999994</v>
      </c>
      <c r="I237" s="23">
        <v>0.53</v>
      </c>
      <c r="J237" s="23">
        <v>6.7000000000000004E-2</v>
      </c>
    </row>
    <row r="238" spans="1:10">
      <c r="A238" s="19" t="s">
        <v>50</v>
      </c>
      <c r="B238" s="1" t="s">
        <v>28</v>
      </c>
      <c r="C238" s="1" t="s">
        <v>37</v>
      </c>
      <c r="D238" s="1" t="s">
        <v>30</v>
      </c>
      <c r="E238" s="16">
        <v>2610</v>
      </c>
      <c r="F238" s="17">
        <v>221.9</v>
      </c>
      <c r="G238" s="17">
        <v>12.5</v>
      </c>
      <c r="H238" s="17">
        <v>189.9</v>
      </c>
      <c r="I238" s="18">
        <v>0.34200000000000003</v>
      </c>
      <c r="J238" s="18">
        <v>3.4000000000000002E-2</v>
      </c>
    </row>
    <row r="239" spans="1:10">
      <c r="A239" s="20" t="s">
        <v>50</v>
      </c>
      <c r="B239" s="3" t="s">
        <v>28</v>
      </c>
      <c r="C239" s="3" t="s">
        <v>37</v>
      </c>
      <c r="D239" s="3" t="s">
        <v>31</v>
      </c>
      <c r="E239" s="21">
        <v>2261</v>
      </c>
      <c r="F239" s="22">
        <v>135.69999999999999</v>
      </c>
      <c r="G239" s="22">
        <v>6.5</v>
      </c>
      <c r="H239" s="22">
        <v>145.30000000000001</v>
      </c>
      <c r="I239" s="23">
        <v>0.43</v>
      </c>
      <c r="J239" s="23">
        <v>6.2E-2</v>
      </c>
    </row>
    <row r="240" spans="1:10">
      <c r="A240" s="19" t="s">
        <v>50</v>
      </c>
      <c r="B240" s="1" t="s">
        <v>28</v>
      </c>
      <c r="C240" s="1" t="s">
        <v>37</v>
      </c>
      <c r="D240" s="1" t="s">
        <v>32</v>
      </c>
      <c r="E240" s="16">
        <v>5436</v>
      </c>
      <c r="F240" s="17">
        <v>135.9</v>
      </c>
      <c r="G240" s="17">
        <v>9.8000000000000007</v>
      </c>
      <c r="H240" s="17">
        <v>146.6</v>
      </c>
      <c r="I240" s="18">
        <v>0.46899999999999997</v>
      </c>
      <c r="J240" s="18">
        <v>7.6999999999999999E-2</v>
      </c>
    </row>
    <row r="241" spans="1:10">
      <c r="A241" s="20" t="s">
        <v>50</v>
      </c>
      <c r="B241" s="3" t="s">
        <v>28</v>
      </c>
      <c r="C241" s="3" t="s">
        <v>37</v>
      </c>
      <c r="D241" s="3" t="s">
        <v>33</v>
      </c>
      <c r="E241" s="21">
        <v>4673</v>
      </c>
      <c r="F241" s="22">
        <v>70.099999999999994</v>
      </c>
      <c r="G241" s="22">
        <v>4.2</v>
      </c>
      <c r="H241" s="22">
        <v>75.3</v>
      </c>
      <c r="I241" s="23">
        <v>0.54100000000000004</v>
      </c>
      <c r="J241" s="23">
        <v>0.06</v>
      </c>
    </row>
    <row r="242" spans="1:10">
      <c r="A242" s="19" t="s">
        <v>50</v>
      </c>
      <c r="B242" s="1" t="s">
        <v>38</v>
      </c>
      <c r="C242" s="1" t="s">
        <v>29</v>
      </c>
      <c r="D242" s="1" t="s">
        <v>30</v>
      </c>
      <c r="E242" s="16">
        <v>3349</v>
      </c>
      <c r="F242" s="17">
        <v>284.7</v>
      </c>
      <c r="G242" s="17">
        <v>15</v>
      </c>
      <c r="H242" s="17">
        <v>289.7</v>
      </c>
      <c r="I242" s="18">
        <v>0.38200000000000001</v>
      </c>
      <c r="J242" s="18">
        <v>8.4000000000000005E-2</v>
      </c>
    </row>
    <row r="243" spans="1:10">
      <c r="A243" s="20" t="s">
        <v>50</v>
      </c>
      <c r="B243" s="3" t="s">
        <v>38</v>
      </c>
      <c r="C243" s="3" t="s">
        <v>29</v>
      </c>
      <c r="D243" s="3" t="s">
        <v>31</v>
      </c>
      <c r="E243" s="21">
        <v>3578</v>
      </c>
      <c r="F243" s="22">
        <v>214.7</v>
      </c>
      <c r="G243" s="22">
        <v>17.100000000000001</v>
      </c>
      <c r="H243" s="22">
        <v>223.8</v>
      </c>
      <c r="I243" s="23">
        <v>0.46</v>
      </c>
      <c r="J243" s="23">
        <v>7.5999999999999998E-2</v>
      </c>
    </row>
    <row r="244" spans="1:10">
      <c r="A244" s="19" t="s">
        <v>50</v>
      </c>
      <c r="B244" s="1" t="s">
        <v>38</v>
      </c>
      <c r="C244" s="1" t="s">
        <v>29</v>
      </c>
      <c r="D244" s="1" t="s">
        <v>32</v>
      </c>
      <c r="E244" s="16">
        <v>9248</v>
      </c>
      <c r="F244" s="17">
        <v>231.2</v>
      </c>
      <c r="G244" s="17">
        <v>10.199999999999999</v>
      </c>
      <c r="H244" s="17">
        <v>243.4</v>
      </c>
      <c r="I244" s="18">
        <v>0.505</v>
      </c>
      <c r="J244" s="18">
        <v>4.5999999999999999E-2</v>
      </c>
    </row>
    <row r="245" spans="1:10">
      <c r="A245" s="20" t="s">
        <v>50</v>
      </c>
      <c r="B245" s="3" t="s">
        <v>38</v>
      </c>
      <c r="C245" s="3" t="s">
        <v>29</v>
      </c>
      <c r="D245" s="3" t="s">
        <v>32</v>
      </c>
      <c r="E245" s="21">
        <v>9248</v>
      </c>
      <c r="F245" s="22">
        <v>231.2</v>
      </c>
      <c r="G245" s="22">
        <v>10.199999999999999</v>
      </c>
      <c r="H245" s="22">
        <v>243.4</v>
      </c>
      <c r="I245" s="23">
        <v>0.505</v>
      </c>
      <c r="J245" s="23">
        <v>4.5999999999999999E-2</v>
      </c>
    </row>
    <row r="246" spans="1:10">
      <c r="A246" s="19" t="s">
        <v>50</v>
      </c>
      <c r="B246" s="1" t="s">
        <v>38</v>
      </c>
      <c r="C246" s="1" t="s">
        <v>29</v>
      </c>
      <c r="D246" s="1" t="s">
        <v>33</v>
      </c>
      <c r="E246" s="16">
        <v>8440</v>
      </c>
      <c r="F246" s="17">
        <v>126.6</v>
      </c>
      <c r="G246" s="17">
        <v>5.3</v>
      </c>
      <c r="H246" s="17">
        <v>136.6</v>
      </c>
      <c r="I246" s="18">
        <v>0.57799999999999996</v>
      </c>
      <c r="J246" s="18">
        <v>4.2999999999999997E-2</v>
      </c>
    </row>
    <row r="247" spans="1:10">
      <c r="A247" s="20" t="s">
        <v>50</v>
      </c>
      <c r="B247" s="3" t="s">
        <v>38</v>
      </c>
      <c r="C247" s="3" t="s">
        <v>34</v>
      </c>
      <c r="D247" s="3" t="s">
        <v>30</v>
      </c>
      <c r="E247" s="21">
        <v>3663</v>
      </c>
      <c r="F247" s="22">
        <v>311.39999999999998</v>
      </c>
      <c r="G247" s="22">
        <v>16.899999999999999</v>
      </c>
      <c r="H247" s="22">
        <v>281.60000000000002</v>
      </c>
      <c r="I247" s="23">
        <v>0.33400000000000002</v>
      </c>
      <c r="J247" s="23">
        <v>8.1000000000000003E-2</v>
      </c>
    </row>
    <row r="248" spans="1:10">
      <c r="A248" s="19" t="s">
        <v>50</v>
      </c>
      <c r="B248" s="1" t="s">
        <v>38</v>
      </c>
      <c r="C248" s="1" t="s">
        <v>34</v>
      </c>
      <c r="D248" s="1" t="s">
        <v>31</v>
      </c>
      <c r="E248" s="16">
        <v>3846</v>
      </c>
      <c r="F248" s="17">
        <v>230.8</v>
      </c>
      <c r="G248" s="17">
        <v>16.7</v>
      </c>
      <c r="H248" s="17">
        <v>206.5</v>
      </c>
      <c r="I248" s="18">
        <v>0.38200000000000001</v>
      </c>
      <c r="J248" s="18">
        <v>8.5000000000000006E-2</v>
      </c>
    </row>
    <row r="249" spans="1:10">
      <c r="A249" s="20" t="s">
        <v>50</v>
      </c>
      <c r="B249" s="3" t="s">
        <v>38</v>
      </c>
      <c r="C249" s="3" t="s">
        <v>34</v>
      </c>
      <c r="D249" s="3" t="s">
        <v>32</v>
      </c>
      <c r="E249" s="21">
        <v>7792</v>
      </c>
      <c r="F249" s="22">
        <v>194.8</v>
      </c>
      <c r="G249" s="22">
        <v>15.2</v>
      </c>
      <c r="H249" s="22">
        <v>172.6</v>
      </c>
      <c r="I249" s="23">
        <v>0.45500000000000002</v>
      </c>
      <c r="J249" s="23">
        <v>6.4000000000000001E-2</v>
      </c>
    </row>
    <row r="250" spans="1:10">
      <c r="A250" s="19" t="s">
        <v>50</v>
      </c>
      <c r="B250" s="1" t="s">
        <v>38</v>
      </c>
      <c r="C250" s="1" t="s">
        <v>34</v>
      </c>
      <c r="D250" s="1" t="s">
        <v>33</v>
      </c>
      <c r="E250" s="16">
        <v>7800</v>
      </c>
      <c r="F250" s="17">
        <v>117</v>
      </c>
      <c r="G250" s="17">
        <v>8.8000000000000007</v>
      </c>
      <c r="H250" s="17">
        <v>103.1</v>
      </c>
      <c r="I250" s="18">
        <v>0.54900000000000004</v>
      </c>
      <c r="J250" s="18">
        <v>4.9000000000000002E-2</v>
      </c>
    </row>
    <row r="251" spans="1:10">
      <c r="A251" s="20" t="s">
        <v>50</v>
      </c>
      <c r="B251" s="3" t="s">
        <v>38</v>
      </c>
      <c r="C251" s="3" t="s">
        <v>35</v>
      </c>
      <c r="D251" s="3" t="s">
        <v>30</v>
      </c>
      <c r="E251" s="21">
        <v>2000</v>
      </c>
      <c r="F251" s="22">
        <v>170</v>
      </c>
      <c r="G251" s="22">
        <v>8.4</v>
      </c>
      <c r="H251" s="22">
        <v>173</v>
      </c>
      <c r="I251" s="23">
        <v>0.32</v>
      </c>
      <c r="J251" s="23">
        <v>6.2E-2</v>
      </c>
    </row>
    <row r="252" spans="1:10">
      <c r="A252" s="19" t="s">
        <v>50</v>
      </c>
      <c r="B252" s="1" t="s">
        <v>38</v>
      </c>
      <c r="C252" s="1" t="s">
        <v>35</v>
      </c>
      <c r="D252" s="1" t="s">
        <v>31</v>
      </c>
      <c r="E252" s="16">
        <v>2856</v>
      </c>
      <c r="F252" s="17">
        <v>171.4</v>
      </c>
      <c r="G252" s="17">
        <v>8.1999999999999993</v>
      </c>
      <c r="H252" s="17">
        <v>173.2</v>
      </c>
      <c r="I252" s="18">
        <v>0.45400000000000001</v>
      </c>
      <c r="J252" s="18">
        <v>7.2999999999999995E-2</v>
      </c>
    </row>
    <row r="253" spans="1:10">
      <c r="A253" s="20" t="s">
        <v>50</v>
      </c>
      <c r="B253" s="3" t="s">
        <v>38</v>
      </c>
      <c r="C253" s="3" t="s">
        <v>35</v>
      </c>
      <c r="D253" s="3" t="s">
        <v>32</v>
      </c>
      <c r="E253" s="21">
        <v>5500</v>
      </c>
      <c r="F253" s="22">
        <v>137.5</v>
      </c>
      <c r="G253" s="22">
        <v>7.3</v>
      </c>
      <c r="H253" s="22">
        <v>137.69999999999999</v>
      </c>
      <c r="I253" s="23">
        <v>0.51300000000000001</v>
      </c>
      <c r="J253" s="23">
        <v>6.5000000000000002E-2</v>
      </c>
    </row>
    <row r="254" spans="1:10">
      <c r="A254" s="19" t="s">
        <v>50</v>
      </c>
      <c r="B254" s="1" t="s">
        <v>38</v>
      </c>
      <c r="C254" s="1" t="s">
        <v>35</v>
      </c>
      <c r="D254" s="1" t="s">
        <v>33</v>
      </c>
      <c r="E254" s="16">
        <v>4993</v>
      </c>
      <c r="F254" s="17">
        <v>74.900000000000006</v>
      </c>
      <c r="G254" s="17">
        <v>5.5</v>
      </c>
      <c r="H254" s="17">
        <v>80.099999999999994</v>
      </c>
      <c r="I254" s="18">
        <v>0.54</v>
      </c>
      <c r="J254" s="18">
        <v>8.7999999999999995E-2</v>
      </c>
    </row>
    <row r="255" spans="1:10">
      <c r="A255" s="20" t="s">
        <v>50</v>
      </c>
      <c r="B255" s="3" t="s">
        <v>38</v>
      </c>
      <c r="C255" s="3" t="s">
        <v>37</v>
      </c>
      <c r="D255" s="3" t="s">
        <v>30</v>
      </c>
      <c r="E255" s="21">
        <v>2260</v>
      </c>
      <c r="F255" s="22">
        <v>192.1</v>
      </c>
      <c r="G255" s="22">
        <v>10.7</v>
      </c>
      <c r="H255" s="22">
        <v>193.6</v>
      </c>
      <c r="I255" s="23">
        <v>0.33100000000000002</v>
      </c>
      <c r="J255" s="23">
        <v>4.8000000000000001E-2</v>
      </c>
    </row>
    <row r="256" spans="1:10">
      <c r="A256" s="19" t="s">
        <v>50</v>
      </c>
      <c r="B256" s="1" t="s">
        <v>38</v>
      </c>
      <c r="C256" s="1" t="s">
        <v>37</v>
      </c>
      <c r="D256" s="1" t="s">
        <v>31</v>
      </c>
      <c r="E256" s="16">
        <v>1993</v>
      </c>
      <c r="F256" s="17">
        <v>119.6</v>
      </c>
      <c r="G256" s="17">
        <v>9.3000000000000007</v>
      </c>
      <c r="H256" s="17">
        <v>127.1</v>
      </c>
      <c r="I256" s="18">
        <v>0.432</v>
      </c>
      <c r="J256" s="18">
        <v>8.7999999999999995E-2</v>
      </c>
    </row>
    <row r="257" spans="1:10">
      <c r="A257" s="20" t="s">
        <v>50</v>
      </c>
      <c r="B257" s="3" t="s">
        <v>38</v>
      </c>
      <c r="C257" s="3" t="s">
        <v>37</v>
      </c>
      <c r="D257" s="3" t="s">
        <v>32</v>
      </c>
      <c r="E257" s="21">
        <v>3936</v>
      </c>
      <c r="F257" s="22">
        <v>98.4</v>
      </c>
      <c r="G257" s="22">
        <v>7.7</v>
      </c>
      <c r="H257" s="22">
        <v>103.8</v>
      </c>
      <c r="I257" s="23">
        <v>0.503</v>
      </c>
      <c r="J257" s="23">
        <v>8.5999999999999993E-2</v>
      </c>
    </row>
    <row r="258" spans="1:10">
      <c r="A258" s="19" t="s">
        <v>50</v>
      </c>
      <c r="B258" s="1" t="s">
        <v>38</v>
      </c>
      <c r="C258" s="1" t="s">
        <v>37</v>
      </c>
      <c r="D258" s="1" t="s">
        <v>33</v>
      </c>
      <c r="E258" s="16">
        <v>3700</v>
      </c>
      <c r="F258" s="17">
        <v>55.5</v>
      </c>
      <c r="G258" s="17">
        <v>3.5</v>
      </c>
      <c r="H258" s="17">
        <v>56.3</v>
      </c>
      <c r="I258" s="18">
        <v>0.56499999999999995</v>
      </c>
      <c r="J258" s="18">
        <v>4.8000000000000001E-2</v>
      </c>
    </row>
    <row r="259" spans="1:10">
      <c r="A259" s="20" t="s">
        <v>50</v>
      </c>
      <c r="B259" s="3" t="s">
        <v>40</v>
      </c>
      <c r="C259" s="3" t="s">
        <v>29</v>
      </c>
      <c r="D259" s="3" t="s">
        <v>30</v>
      </c>
      <c r="E259" s="21">
        <v>2585</v>
      </c>
      <c r="F259" s="22">
        <v>219.8</v>
      </c>
      <c r="G259" s="22">
        <v>15.2</v>
      </c>
      <c r="H259" s="22">
        <v>236.5</v>
      </c>
      <c r="I259" s="23">
        <v>0.35099999999999998</v>
      </c>
      <c r="J259" s="23">
        <v>8.6999999999999994E-2</v>
      </c>
    </row>
    <row r="260" spans="1:10">
      <c r="A260" s="19" t="s">
        <v>50</v>
      </c>
      <c r="B260" s="1" t="s">
        <v>40</v>
      </c>
      <c r="C260" s="1" t="s">
        <v>29</v>
      </c>
      <c r="D260" s="1" t="s">
        <v>31</v>
      </c>
      <c r="E260" s="16">
        <v>3721</v>
      </c>
      <c r="F260" s="17">
        <v>223.3</v>
      </c>
      <c r="G260" s="17">
        <v>17.600000000000001</v>
      </c>
      <c r="H260" s="17">
        <v>223.8</v>
      </c>
      <c r="I260" s="18">
        <v>0.45400000000000001</v>
      </c>
      <c r="J260" s="18">
        <v>6.6000000000000003E-2</v>
      </c>
    </row>
    <row r="261" spans="1:10">
      <c r="A261" s="20" t="s">
        <v>50</v>
      </c>
      <c r="B261" s="3" t="s">
        <v>40</v>
      </c>
      <c r="C261" s="3" t="s">
        <v>29</v>
      </c>
      <c r="D261" s="3" t="s">
        <v>48</v>
      </c>
      <c r="E261" s="21">
        <v>7256</v>
      </c>
      <c r="F261" s="22">
        <v>181.4</v>
      </c>
      <c r="G261" s="22">
        <v>8.9</v>
      </c>
      <c r="H261" s="22">
        <v>189.6</v>
      </c>
      <c r="I261" s="23">
        <v>0.45100000000000001</v>
      </c>
      <c r="J261" s="23">
        <v>8.5999999999999993E-2</v>
      </c>
    </row>
    <row r="262" spans="1:10">
      <c r="A262" s="19" t="s">
        <v>50</v>
      </c>
      <c r="B262" s="1" t="s">
        <v>40</v>
      </c>
      <c r="C262" s="1" t="s">
        <v>29</v>
      </c>
      <c r="D262" s="1" t="s">
        <v>33</v>
      </c>
      <c r="E262" s="16">
        <v>6326</v>
      </c>
      <c r="F262" s="17">
        <v>94.9</v>
      </c>
      <c r="G262" s="17">
        <v>4.7</v>
      </c>
      <c r="H262" s="17">
        <v>102.3</v>
      </c>
      <c r="I262" s="18">
        <v>0.58099999999999996</v>
      </c>
      <c r="J262" s="18">
        <v>0.04</v>
      </c>
    </row>
    <row r="263" spans="1:10">
      <c r="A263" s="20" t="s">
        <v>50</v>
      </c>
      <c r="B263" s="3" t="s">
        <v>40</v>
      </c>
      <c r="C263" s="3" t="s">
        <v>34</v>
      </c>
      <c r="D263" s="3" t="s">
        <v>30</v>
      </c>
      <c r="E263" s="21">
        <v>2316</v>
      </c>
      <c r="F263" s="22">
        <v>196.9</v>
      </c>
      <c r="G263" s="22">
        <v>13.5</v>
      </c>
      <c r="H263" s="22">
        <v>175.4</v>
      </c>
      <c r="I263" s="23">
        <v>0.35599999999999998</v>
      </c>
      <c r="J263" s="23">
        <v>8.3000000000000004E-2</v>
      </c>
    </row>
    <row r="264" spans="1:10">
      <c r="A264" s="19" t="s">
        <v>50</v>
      </c>
      <c r="B264" s="1" t="s">
        <v>40</v>
      </c>
      <c r="C264" s="1" t="s">
        <v>34</v>
      </c>
      <c r="D264" s="1" t="s">
        <v>31</v>
      </c>
      <c r="E264" s="16">
        <v>2733</v>
      </c>
      <c r="F264" s="17">
        <v>164</v>
      </c>
      <c r="G264" s="17">
        <v>8.1999999999999993</v>
      </c>
      <c r="H264" s="17">
        <v>139.80000000000001</v>
      </c>
      <c r="I264" s="18">
        <v>0.38900000000000001</v>
      </c>
      <c r="J264" s="18">
        <v>4.4999999999999998E-2</v>
      </c>
    </row>
    <row r="265" spans="1:10">
      <c r="A265" s="20" t="s">
        <v>50</v>
      </c>
      <c r="B265" s="3" t="s">
        <v>40</v>
      </c>
      <c r="C265" s="3" t="s">
        <v>34</v>
      </c>
      <c r="D265" s="3" t="s">
        <v>32</v>
      </c>
      <c r="E265" s="21">
        <v>4912</v>
      </c>
      <c r="F265" s="22">
        <v>122.8</v>
      </c>
      <c r="G265" s="22">
        <v>6.8</v>
      </c>
      <c r="H265" s="22">
        <v>110.2</v>
      </c>
      <c r="I265" s="23">
        <v>0.51100000000000001</v>
      </c>
      <c r="J265" s="23">
        <v>8.7999999999999995E-2</v>
      </c>
    </row>
    <row r="266" spans="1:10">
      <c r="A266" s="19" t="s">
        <v>50</v>
      </c>
      <c r="B266" s="1" t="s">
        <v>40</v>
      </c>
      <c r="C266" s="1" t="s">
        <v>34</v>
      </c>
      <c r="D266" s="1" t="s">
        <v>33</v>
      </c>
      <c r="E266" s="16">
        <v>5333</v>
      </c>
      <c r="F266" s="17">
        <v>80</v>
      </c>
      <c r="G266" s="17">
        <v>4.4000000000000004</v>
      </c>
      <c r="H266" s="17">
        <v>70.8</v>
      </c>
      <c r="I266" s="18">
        <v>0.54800000000000004</v>
      </c>
      <c r="J266" s="18">
        <v>3.5999999999999997E-2</v>
      </c>
    </row>
    <row r="267" spans="1:10">
      <c r="A267" s="20" t="s">
        <v>50</v>
      </c>
      <c r="B267" s="3" t="s">
        <v>40</v>
      </c>
      <c r="C267" s="3" t="s">
        <v>35</v>
      </c>
      <c r="D267" s="3" t="s">
        <v>30</v>
      </c>
      <c r="E267" s="21">
        <v>1987</v>
      </c>
      <c r="F267" s="22">
        <v>168.9</v>
      </c>
      <c r="G267" s="22">
        <v>11.2</v>
      </c>
      <c r="H267" s="22">
        <v>178.2</v>
      </c>
      <c r="I267" s="23">
        <v>0.32600000000000001</v>
      </c>
      <c r="J267" s="23">
        <v>0.04</v>
      </c>
    </row>
    <row r="268" spans="1:10">
      <c r="A268" s="19" t="s">
        <v>50</v>
      </c>
      <c r="B268" s="1" t="s">
        <v>40</v>
      </c>
      <c r="C268" s="1" t="s">
        <v>35</v>
      </c>
      <c r="D268" s="1" t="s">
        <v>31</v>
      </c>
      <c r="E268" s="16">
        <v>2201</v>
      </c>
      <c r="F268" s="17">
        <v>132.1</v>
      </c>
      <c r="G268" s="17">
        <v>6.8</v>
      </c>
      <c r="H268" s="17">
        <v>135.4</v>
      </c>
      <c r="I268" s="18">
        <v>0.38600000000000001</v>
      </c>
      <c r="J268" s="18">
        <v>8.6999999999999994E-2</v>
      </c>
    </row>
    <row r="269" spans="1:10">
      <c r="A269" s="20" t="s">
        <v>50</v>
      </c>
      <c r="B269" s="3" t="s">
        <v>40</v>
      </c>
      <c r="C269" s="3" t="s">
        <v>35</v>
      </c>
      <c r="D269" s="3" t="s">
        <v>32</v>
      </c>
      <c r="E269" s="21">
        <v>3528</v>
      </c>
      <c r="F269" s="22">
        <v>88.2</v>
      </c>
      <c r="G269" s="22">
        <v>4.9000000000000004</v>
      </c>
      <c r="H269" s="22">
        <v>93.4</v>
      </c>
      <c r="I269" s="23">
        <v>0.51200000000000001</v>
      </c>
      <c r="J269" s="23">
        <v>6.3E-2</v>
      </c>
    </row>
    <row r="270" spans="1:10">
      <c r="A270" s="19" t="s">
        <v>50</v>
      </c>
      <c r="B270" s="1" t="s">
        <v>40</v>
      </c>
      <c r="C270" s="1" t="s">
        <v>35</v>
      </c>
      <c r="D270" s="1" t="s">
        <v>33</v>
      </c>
      <c r="E270" s="16">
        <v>3180</v>
      </c>
      <c r="F270" s="17">
        <v>47.7</v>
      </c>
      <c r="G270" s="17">
        <v>3</v>
      </c>
      <c r="H270" s="17">
        <v>50.1</v>
      </c>
      <c r="I270" s="18">
        <v>0.51200000000000001</v>
      </c>
      <c r="J270" s="18">
        <v>5.8999999999999997E-2</v>
      </c>
    </row>
    <row r="271" spans="1:10">
      <c r="A271" s="20" t="s">
        <v>50</v>
      </c>
      <c r="B271" s="3" t="s">
        <v>40</v>
      </c>
      <c r="C271" s="3" t="s">
        <v>37</v>
      </c>
      <c r="D271" s="3" t="s">
        <v>30</v>
      </c>
      <c r="E271" s="21">
        <v>1775</v>
      </c>
      <c r="F271" s="22">
        <v>150.9</v>
      </c>
      <c r="G271" s="22">
        <v>7</v>
      </c>
      <c r="H271" s="22">
        <v>161.69999999999999</v>
      </c>
      <c r="I271" s="23">
        <v>0.32800000000000001</v>
      </c>
      <c r="J271" s="23">
        <v>3.9E-2</v>
      </c>
    </row>
    <row r="272" spans="1:10">
      <c r="A272" s="19" t="s">
        <v>50</v>
      </c>
      <c r="B272" s="1" t="s">
        <v>40</v>
      </c>
      <c r="C272" s="1" t="s">
        <v>37</v>
      </c>
      <c r="D272" s="1" t="s">
        <v>31</v>
      </c>
      <c r="E272" s="16">
        <v>1590</v>
      </c>
      <c r="F272" s="17">
        <v>95.4</v>
      </c>
      <c r="G272" s="17">
        <v>4.5</v>
      </c>
      <c r="H272" s="17">
        <v>100.8</v>
      </c>
      <c r="I272" s="18">
        <v>0.438</v>
      </c>
      <c r="J272" s="18">
        <v>7.2999999999999995E-2</v>
      </c>
    </row>
    <row r="273" spans="1:10">
      <c r="A273" s="20" t="s">
        <v>50</v>
      </c>
      <c r="B273" s="3" t="s">
        <v>40</v>
      </c>
      <c r="C273" s="3" t="s">
        <v>37</v>
      </c>
      <c r="D273" s="3" t="s">
        <v>32</v>
      </c>
      <c r="E273" s="21">
        <v>3184</v>
      </c>
      <c r="F273" s="22">
        <v>79.599999999999994</v>
      </c>
      <c r="G273" s="22">
        <v>4.0999999999999996</v>
      </c>
      <c r="H273" s="22">
        <v>81.099999999999994</v>
      </c>
      <c r="I273" s="23">
        <v>0.48599999999999999</v>
      </c>
      <c r="J273" s="23">
        <v>3.3000000000000002E-2</v>
      </c>
    </row>
    <row r="274" spans="1:10">
      <c r="A274" s="19" t="s">
        <v>50</v>
      </c>
      <c r="B274" s="1" t="s">
        <v>40</v>
      </c>
      <c r="C274" s="1" t="s">
        <v>37</v>
      </c>
      <c r="D274" s="1" t="s">
        <v>33</v>
      </c>
      <c r="E274" s="16">
        <v>3493</v>
      </c>
      <c r="F274" s="17">
        <v>52.4</v>
      </c>
      <c r="G274" s="17">
        <v>2.4</v>
      </c>
      <c r="H274" s="17">
        <v>54</v>
      </c>
      <c r="I274" s="18">
        <v>0.53400000000000003</v>
      </c>
      <c r="J274" s="18">
        <v>5.6000000000000001E-2</v>
      </c>
    </row>
    <row r="275" spans="1:10">
      <c r="A275" s="20" t="s">
        <v>50</v>
      </c>
      <c r="B275" s="3" t="s">
        <v>41</v>
      </c>
      <c r="C275" s="3" t="s">
        <v>29</v>
      </c>
      <c r="D275" s="3" t="s">
        <v>30</v>
      </c>
      <c r="E275" s="21">
        <v>1948</v>
      </c>
      <c r="F275" s="22">
        <v>165.6</v>
      </c>
      <c r="G275" s="22">
        <v>19.100000000000001</v>
      </c>
      <c r="H275" s="22">
        <v>215.7</v>
      </c>
      <c r="I275" s="23">
        <v>0.33400000000000002</v>
      </c>
      <c r="J275" s="23">
        <v>9.1999999999999998E-2</v>
      </c>
    </row>
    <row r="276" spans="1:10">
      <c r="A276" s="19" t="s">
        <v>50</v>
      </c>
      <c r="B276" s="1" t="s">
        <v>41</v>
      </c>
      <c r="C276" s="1" t="s">
        <v>29</v>
      </c>
      <c r="D276" s="1" t="s">
        <v>51</v>
      </c>
      <c r="E276" s="16">
        <v>1938</v>
      </c>
      <c r="F276" s="17">
        <v>116.3</v>
      </c>
      <c r="G276" s="17">
        <v>9.1</v>
      </c>
      <c r="H276" s="17">
        <v>159.19999999999999</v>
      </c>
      <c r="I276" s="18">
        <v>0.41199999999999998</v>
      </c>
      <c r="J276" s="18">
        <v>0.109</v>
      </c>
    </row>
    <row r="277" spans="1:10">
      <c r="A277" s="20" t="s">
        <v>50</v>
      </c>
      <c r="B277" s="3" t="s">
        <v>41</v>
      </c>
      <c r="C277" s="3" t="s">
        <v>29</v>
      </c>
      <c r="D277" s="3" t="s">
        <v>32</v>
      </c>
      <c r="E277" s="21">
        <v>4048</v>
      </c>
      <c r="F277" s="22">
        <v>101.2</v>
      </c>
      <c r="G277" s="22">
        <v>12.1</v>
      </c>
      <c r="H277" s="22">
        <v>130.69999999999999</v>
      </c>
      <c r="I277" s="23">
        <v>0.45500000000000002</v>
      </c>
      <c r="J277" s="23">
        <v>0.123</v>
      </c>
    </row>
    <row r="278" spans="1:10">
      <c r="A278" s="19" t="s">
        <v>50</v>
      </c>
      <c r="B278" s="1" t="s">
        <v>41</v>
      </c>
      <c r="C278" s="1" t="s">
        <v>29</v>
      </c>
      <c r="D278" s="1" t="s">
        <v>33</v>
      </c>
      <c r="E278" s="16">
        <v>4193</v>
      </c>
      <c r="F278" s="17">
        <v>62.9</v>
      </c>
      <c r="G278" s="17">
        <v>6.2</v>
      </c>
      <c r="H278" s="17">
        <v>83.5</v>
      </c>
      <c r="I278" s="18">
        <v>0.54700000000000004</v>
      </c>
      <c r="J278" s="18">
        <v>0.106</v>
      </c>
    </row>
    <row r="279" spans="1:10">
      <c r="A279" s="20" t="s">
        <v>50</v>
      </c>
      <c r="B279" s="3" t="s">
        <v>41</v>
      </c>
      <c r="C279" s="3" t="s">
        <v>34</v>
      </c>
      <c r="D279" s="3" t="s">
        <v>30</v>
      </c>
      <c r="E279" s="21">
        <v>1984</v>
      </c>
      <c r="F279" s="22">
        <v>168.7</v>
      </c>
      <c r="G279" s="22">
        <v>8.6</v>
      </c>
      <c r="H279" s="22">
        <v>143.69999999999999</v>
      </c>
      <c r="I279" s="23">
        <v>0.373</v>
      </c>
      <c r="J279" s="23">
        <v>7.4999999999999997E-2</v>
      </c>
    </row>
    <row r="280" spans="1:10">
      <c r="A280" s="19" t="s">
        <v>50</v>
      </c>
      <c r="B280" s="1" t="s">
        <v>41</v>
      </c>
      <c r="C280" s="1" t="s">
        <v>34</v>
      </c>
      <c r="D280" s="1" t="s">
        <v>31</v>
      </c>
      <c r="E280" s="16">
        <v>2106</v>
      </c>
      <c r="F280" s="17">
        <v>126.4</v>
      </c>
      <c r="G280" s="17">
        <v>6.8</v>
      </c>
      <c r="H280" s="17">
        <v>111.8</v>
      </c>
      <c r="I280" s="18">
        <v>0.42699999999999999</v>
      </c>
      <c r="J280" s="18">
        <v>8.7999999999999995E-2</v>
      </c>
    </row>
    <row r="281" spans="1:10">
      <c r="A281" s="20" t="s">
        <v>50</v>
      </c>
      <c r="B281" s="3" t="s">
        <v>41</v>
      </c>
      <c r="C281" s="3" t="s">
        <v>34</v>
      </c>
      <c r="D281" s="3" t="s">
        <v>32</v>
      </c>
      <c r="E281" s="21">
        <v>4800</v>
      </c>
      <c r="F281" s="22">
        <v>120</v>
      </c>
      <c r="G281" s="22">
        <v>8.8000000000000007</v>
      </c>
      <c r="H281" s="22">
        <v>108.4</v>
      </c>
      <c r="I281" s="23">
        <v>0.48299999999999998</v>
      </c>
      <c r="J281" s="23">
        <v>5.5E-2</v>
      </c>
    </row>
    <row r="282" spans="1:10">
      <c r="A282" s="19" t="s">
        <v>50</v>
      </c>
      <c r="B282" s="1" t="s">
        <v>41</v>
      </c>
      <c r="C282" s="1" t="s">
        <v>34</v>
      </c>
      <c r="D282" s="1" t="s">
        <v>33</v>
      </c>
      <c r="E282" s="16">
        <v>4860</v>
      </c>
      <c r="F282" s="17">
        <v>72.900000000000006</v>
      </c>
      <c r="G282" s="17">
        <v>4.3</v>
      </c>
      <c r="H282" s="17">
        <v>66.099999999999994</v>
      </c>
      <c r="I282" s="18">
        <v>0.51600000000000001</v>
      </c>
      <c r="J282" s="18">
        <v>5.8999999999999997E-2</v>
      </c>
    </row>
    <row r="283" spans="1:10">
      <c r="A283" s="20" t="s">
        <v>50</v>
      </c>
      <c r="B283" s="3" t="s">
        <v>41</v>
      </c>
      <c r="C283" s="3" t="s">
        <v>35</v>
      </c>
      <c r="D283" s="3" t="s">
        <v>30</v>
      </c>
      <c r="E283" s="21">
        <v>-1642</v>
      </c>
      <c r="F283" s="22">
        <v>139.6</v>
      </c>
      <c r="G283" s="22">
        <v>9.6</v>
      </c>
      <c r="H283" s="22">
        <v>145.30000000000001</v>
      </c>
      <c r="I283" s="23">
        <v>0.38400000000000001</v>
      </c>
      <c r="J283" s="23">
        <v>8.4000000000000005E-2</v>
      </c>
    </row>
    <row r="284" spans="1:10">
      <c r="A284" s="19" t="s">
        <v>50</v>
      </c>
      <c r="B284" s="1" t="s">
        <v>41</v>
      </c>
      <c r="C284" s="1" t="s">
        <v>35</v>
      </c>
      <c r="D284" s="1" t="s">
        <v>31</v>
      </c>
      <c r="E284" s="16">
        <v>1718</v>
      </c>
      <c r="F284" s="17">
        <v>103.1</v>
      </c>
      <c r="G284" s="17">
        <v>6.7</v>
      </c>
      <c r="H284" s="17">
        <v>104.1</v>
      </c>
      <c r="I284" s="18">
        <v>0.39400000000000002</v>
      </c>
      <c r="J284" s="18">
        <v>7.4999999999999997E-2</v>
      </c>
    </row>
    <row r="285" spans="1:10">
      <c r="A285" s="20" t="s">
        <v>50</v>
      </c>
      <c r="B285" s="3" t="s">
        <v>41</v>
      </c>
      <c r="C285" s="3" t="s">
        <v>35</v>
      </c>
      <c r="D285" s="3" t="s">
        <v>32</v>
      </c>
      <c r="E285" s="21">
        <v>3668</v>
      </c>
      <c r="F285" s="22">
        <v>91.7</v>
      </c>
      <c r="G285" s="22">
        <v>7.2</v>
      </c>
      <c r="H285" s="22">
        <v>97.7</v>
      </c>
      <c r="I285" s="23">
        <v>0.47399999999999998</v>
      </c>
      <c r="J285" s="23">
        <v>3.7999999999999999E-2</v>
      </c>
    </row>
    <row r="286" spans="1:10">
      <c r="A286" s="19" t="s">
        <v>50</v>
      </c>
      <c r="B286" s="1" t="s">
        <v>41</v>
      </c>
      <c r="C286" s="1" t="s">
        <v>35</v>
      </c>
      <c r="D286" s="1" t="s">
        <v>33</v>
      </c>
      <c r="E286" s="16">
        <v>3400</v>
      </c>
      <c r="F286" s="17">
        <v>51</v>
      </c>
      <c r="G286" s="17">
        <v>2.9</v>
      </c>
      <c r="H286" s="17">
        <v>55.1</v>
      </c>
      <c r="I286" s="18">
        <v>0.57699999999999996</v>
      </c>
      <c r="J286" s="18">
        <v>6.8000000000000005E-2</v>
      </c>
    </row>
    <row r="287" spans="1:10">
      <c r="A287" s="20" t="s">
        <v>50</v>
      </c>
      <c r="B287" s="3" t="s">
        <v>41</v>
      </c>
      <c r="C287" s="3" t="s">
        <v>37</v>
      </c>
      <c r="D287" s="3" t="s">
        <v>30</v>
      </c>
      <c r="E287" s="21">
        <v>1189</v>
      </c>
      <c r="F287" s="22">
        <v>101.1</v>
      </c>
      <c r="G287" s="22">
        <v>7.7</v>
      </c>
      <c r="H287" s="22">
        <v>108.5</v>
      </c>
      <c r="I287" s="23">
        <v>0.35099999999999998</v>
      </c>
      <c r="J287" s="23">
        <v>3.4000000000000002E-2</v>
      </c>
    </row>
    <row r="288" spans="1:10">
      <c r="A288" s="19" t="s">
        <v>50</v>
      </c>
      <c r="B288" s="1" t="s">
        <v>41</v>
      </c>
      <c r="C288" s="1" t="s">
        <v>37</v>
      </c>
      <c r="D288" s="1" t="s">
        <v>31</v>
      </c>
      <c r="E288" s="16">
        <v>1383</v>
      </c>
      <c r="F288" s="17">
        <v>83</v>
      </c>
      <c r="G288" s="17">
        <v>4.4000000000000004</v>
      </c>
      <c r="H288" s="17">
        <v>84.9</v>
      </c>
      <c r="I288" s="18">
        <v>0.45</v>
      </c>
      <c r="J288" s="18">
        <v>5.7000000000000002E-2</v>
      </c>
    </row>
    <row r="289" spans="1:10">
      <c r="A289" s="20" t="s">
        <v>50</v>
      </c>
      <c r="B289" s="3" t="s">
        <v>41</v>
      </c>
      <c r="C289" s="3" t="s">
        <v>37</v>
      </c>
      <c r="D289" s="3" t="s">
        <v>32</v>
      </c>
      <c r="E289" s="21">
        <v>3044</v>
      </c>
      <c r="F289" s="22">
        <v>76.099999999999994</v>
      </c>
      <c r="G289" s="22">
        <v>4.9000000000000004</v>
      </c>
      <c r="H289" s="22">
        <v>79.3</v>
      </c>
      <c r="I289" s="23">
        <v>0.47299999999999998</v>
      </c>
      <c r="J289" s="23">
        <v>5.5E-2</v>
      </c>
    </row>
    <row r="290" spans="1:10">
      <c r="A290" s="19" t="s">
        <v>50</v>
      </c>
      <c r="B290" s="1" t="s">
        <v>41</v>
      </c>
      <c r="C290" s="1" t="s">
        <v>37</v>
      </c>
      <c r="D290" s="1" t="s">
        <v>33</v>
      </c>
      <c r="E290" s="16">
        <v>2320</v>
      </c>
      <c r="F290" s="17">
        <v>34.799999999999997</v>
      </c>
      <c r="G290" s="17">
        <v>2.2000000000000002</v>
      </c>
      <c r="H290" s="17">
        <v>36.9</v>
      </c>
      <c r="I290" s="18">
        <v>0.58399999999999996</v>
      </c>
      <c r="J290" s="18">
        <v>8.5999999999999993E-2</v>
      </c>
    </row>
    <row r="291" spans="1:10">
      <c r="A291" s="20" t="s">
        <v>50</v>
      </c>
      <c r="B291" s="3" t="s">
        <v>43</v>
      </c>
      <c r="C291" s="3" t="s">
        <v>29</v>
      </c>
      <c r="D291" s="3" t="s">
        <v>30</v>
      </c>
      <c r="E291" s="21">
        <v>3504</v>
      </c>
      <c r="F291" s="22">
        <v>297.89999999999998</v>
      </c>
      <c r="G291" s="22">
        <v>13.1</v>
      </c>
      <c r="H291" s="22">
        <v>304.8</v>
      </c>
      <c r="I291" s="23">
        <v>0.34799999999999998</v>
      </c>
      <c r="J291" s="23">
        <v>6.2E-2</v>
      </c>
    </row>
    <row r="292" spans="1:10">
      <c r="A292" s="19" t="s">
        <v>50</v>
      </c>
      <c r="B292" s="1" t="s">
        <v>43</v>
      </c>
      <c r="C292" s="1" t="s">
        <v>29</v>
      </c>
      <c r="D292" s="1" t="s">
        <v>31</v>
      </c>
      <c r="E292" s="16">
        <v>3726</v>
      </c>
      <c r="F292" s="17">
        <v>223.6</v>
      </c>
      <c r="G292" s="17">
        <v>12.4</v>
      </c>
      <c r="H292" s="17">
        <v>232.3</v>
      </c>
      <c r="I292" s="18">
        <v>0.38300000000000001</v>
      </c>
      <c r="J292" s="18">
        <v>6.7000000000000004E-2</v>
      </c>
    </row>
    <row r="293" spans="1:10">
      <c r="A293" s="20" t="s">
        <v>50</v>
      </c>
      <c r="B293" s="3" t="s">
        <v>43</v>
      </c>
      <c r="C293" s="3" t="s">
        <v>29</v>
      </c>
      <c r="D293" s="3" t="s">
        <v>32</v>
      </c>
      <c r="E293" s="21">
        <v>7012</v>
      </c>
      <c r="F293" s="22">
        <v>175.3</v>
      </c>
      <c r="G293" s="22">
        <v>8</v>
      </c>
      <c r="H293" s="22">
        <v>183.9</v>
      </c>
      <c r="I293" s="23">
        <v>0.443</v>
      </c>
      <c r="J293" s="23">
        <v>7.1999999999999995E-2</v>
      </c>
    </row>
    <row r="294" spans="1:10">
      <c r="A294" s="19" t="s">
        <v>50</v>
      </c>
      <c r="B294" s="1" t="s">
        <v>43</v>
      </c>
      <c r="C294" s="1" t="s">
        <v>29</v>
      </c>
      <c r="D294" s="1" t="s">
        <v>33</v>
      </c>
      <c r="E294" s="16">
        <v>7773</v>
      </c>
      <c r="F294" s="17">
        <v>116.6</v>
      </c>
      <c r="G294" s="17">
        <v>6.2</v>
      </c>
      <c r="H294" s="17">
        <v>118.9</v>
      </c>
      <c r="I294" s="18">
        <v>0.58399999999999996</v>
      </c>
      <c r="J294" s="18">
        <v>7.4999999999999997E-2</v>
      </c>
    </row>
    <row r="295" spans="1:10">
      <c r="A295" s="20" t="s">
        <v>50</v>
      </c>
      <c r="B295" s="3" t="s">
        <v>43</v>
      </c>
      <c r="C295" s="3" t="s">
        <v>34</v>
      </c>
      <c r="D295" s="3" t="s">
        <v>30</v>
      </c>
      <c r="E295" s="21">
        <v>3495</v>
      </c>
      <c r="F295" s="22">
        <v>297.10000000000002</v>
      </c>
      <c r="G295" s="22">
        <v>12.1</v>
      </c>
      <c r="H295" s="22">
        <v>268.2</v>
      </c>
      <c r="I295" s="23">
        <v>0.34200000000000003</v>
      </c>
      <c r="J295" s="23">
        <v>4.8000000000000001E-2</v>
      </c>
    </row>
    <row r="296" spans="1:10">
      <c r="A296" s="19" t="s">
        <v>50</v>
      </c>
      <c r="B296" s="1" t="s">
        <v>43</v>
      </c>
      <c r="C296" s="1" t="s">
        <v>34</v>
      </c>
      <c r="D296" s="1" t="s">
        <v>31</v>
      </c>
      <c r="E296" s="16">
        <v>3466</v>
      </c>
      <c r="F296" s="17">
        <v>208</v>
      </c>
      <c r="G296" s="17">
        <v>14.1</v>
      </c>
      <c r="H296" s="17">
        <v>177.7</v>
      </c>
      <c r="I296" s="18">
        <v>0.39100000000000001</v>
      </c>
      <c r="J296" s="18">
        <v>8.2000000000000003E-2</v>
      </c>
    </row>
    <row r="297" spans="1:10">
      <c r="A297" s="20" t="s">
        <v>50</v>
      </c>
      <c r="B297" s="3" t="s">
        <v>43</v>
      </c>
      <c r="C297" s="3" t="s">
        <v>34</v>
      </c>
      <c r="D297" s="3" t="s">
        <v>32</v>
      </c>
      <c r="E297" s="21">
        <v>7796</v>
      </c>
      <c r="F297" s="22">
        <v>194.9</v>
      </c>
      <c r="G297" s="22">
        <v>11.3</v>
      </c>
      <c r="H297" s="22">
        <v>176.1</v>
      </c>
      <c r="I297" s="23">
        <v>0.47299999999999998</v>
      </c>
      <c r="J297" s="23">
        <v>4.5999999999999999E-2</v>
      </c>
    </row>
    <row r="298" spans="1:10">
      <c r="A298" s="19" t="s">
        <v>50</v>
      </c>
      <c r="B298" s="1" t="s">
        <v>43</v>
      </c>
      <c r="C298" s="1" t="s">
        <v>34</v>
      </c>
      <c r="D298" s="1" t="s">
        <v>33</v>
      </c>
      <c r="E298" s="16">
        <v>6593</v>
      </c>
      <c r="F298" s="17">
        <v>98.9</v>
      </c>
      <c r="G298" s="17">
        <v>4.7</v>
      </c>
      <c r="H298" s="17">
        <v>85.3</v>
      </c>
      <c r="I298" s="18">
        <v>0.56899999999999995</v>
      </c>
      <c r="J298" s="18">
        <v>7.9000000000000001E-2</v>
      </c>
    </row>
    <row r="299" spans="1:10">
      <c r="A299" s="20" t="s">
        <v>50</v>
      </c>
      <c r="B299" s="3" t="s">
        <v>43</v>
      </c>
      <c r="C299" s="3" t="s">
        <v>35</v>
      </c>
      <c r="D299" s="3" t="s">
        <v>30</v>
      </c>
      <c r="E299" s="21">
        <v>1916</v>
      </c>
      <c r="F299" s="22">
        <v>162.9</v>
      </c>
      <c r="G299" s="22">
        <v>12.2</v>
      </c>
      <c r="H299" s="22">
        <v>206.7</v>
      </c>
      <c r="I299" s="23">
        <v>0.33300000000000002</v>
      </c>
      <c r="J299" s="23">
        <v>0.121</v>
      </c>
    </row>
    <row r="300" spans="1:10">
      <c r="A300" s="19" t="s">
        <v>50</v>
      </c>
      <c r="B300" s="1" t="s">
        <v>43</v>
      </c>
      <c r="C300" s="1" t="s">
        <v>35</v>
      </c>
      <c r="D300" s="1" t="s">
        <v>31</v>
      </c>
      <c r="E300" s="16">
        <v>1866</v>
      </c>
      <c r="F300" s="17">
        <v>112</v>
      </c>
      <c r="G300" s="17">
        <v>6.8</v>
      </c>
      <c r="H300" s="17">
        <v>134.80000000000001</v>
      </c>
      <c r="I300" s="18">
        <v>0.45</v>
      </c>
      <c r="J300" s="18">
        <v>0.14099999999999999</v>
      </c>
    </row>
    <row r="301" spans="1:10">
      <c r="A301" s="20" t="s">
        <v>50</v>
      </c>
      <c r="B301" s="3" t="s">
        <v>43</v>
      </c>
      <c r="C301" s="3" t="s">
        <v>35</v>
      </c>
      <c r="D301" s="3" t="s">
        <v>32</v>
      </c>
      <c r="E301" s="21">
        <v>3336</v>
      </c>
      <c r="F301" s="22">
        <v>83.4</v>
      </c>
      <c r="G301" s="22">
        <v>4</v>
      </c>
      <c r="H301" s="22">
        <v>106</v>
      </c>
      <c r="I301" s="23">
        <v>0.46</v>
      </c>
      <c r="J301" s="23">
        <v>0.14000000000000001</v>
      </c>
    </row>
    <row r="302" spans="1:10">
      <c r="A302" s="19" t="s">
        <v>50</v>
      </c>
      <c r="B302" s="1" t="s">
        <v>43</v>
      </c>
      <c r="C302" s="1" t="s">
        <v>35</v>
      </c>
      <c r="D302" s="1" t="s">
        <v>33</v>
      </c>
      <c r="E302" s="16">
        <v>3553</v>
      </c>
      <c r="F302" s="17">
        <v>53.3</v>
      </c>
      <c r="G302" s="17">
        <v>4.0999999999999996</v>
      </c>
      <c r="H302" s="17">
        <v>67</v>
      </c>
      <c r="I302" s="18">
        <v>0.57599999999999996</v>
      </c>
      <c r="J302" s="18">
        <v>0.106</v>
      </c>
    </row>
    <row r="303" spans="1:10">
      <c r="A303" s="20" t="s">
        <v>50</v>
      </c>
      <c r="B303" s="3" t="s">
        <v>43</v>
      </c>
      <c r="C303" s="3" t="s">
        <v>37</v>
      </c>
      <c r="D303" s="3" t="s">
        <v>30</v>
      </c>
      <c r="E303" s="21">
        <v>1855</v>
      </c>
      <c r="F303" s="22">
        <v>157.69999999999999</v>
      </c>
      <c r="G303" s="22">
        <v>10.3</v>
      </c>
      <c r="H303" s="22">
        <v>159.30000000000001</v>
      </c>
      <c r="I303" s="23">
        <v>0.35</v>
      </c>
      <c r="J303" s="23">
        <v>3.2000000000000001E-2</v>
      </c>
    </row>
    <row r="304" spans="1:10">
      <c r="A304" s="19" t="s">
        <v>50</v>
      </c>
      <c r="B304" s="1" t="s">
        <v>43</v>
      </c>
      <c r="C304" s="1" t="s">
        <v>37</v>
      </c>
      <c r="D304" s="1" t="s">
        <v>52</v>
      </c>
      <c r="E304" s="16">
        <v>2120</v>
      </c>
      <c r="F304" s="17">
        <v>127.2</v>
      </c>
      <c r="G304" s="17">
        <v>6</v>
      </c>
      <c r="H304" s="17">
        <v>136.1</v>
      </c>
      <c r="I304" s="18">
        <v>0.40799999999999997</v>
      </c>
      <c r="J304" s="18">
        <v>6.5000000000000002E-2</v>
      </c>
    </row>
    <row r="305" spans="1:10">
      <c r="A305" s="20" t="s">
        <v>50</v>
      </c>
      <c r="B305" s="3" t="s">
        <v>43</v>
      </c>
      <c r="C305" s="3" t="s">
        <v>37</v>
      </c>
      <c r="D305" s="3" t="s">
        <v>32</v>
      </c>
      <c r="E305" s="21">
        <v>3640</v>
      </c>
      <c r="F305" s="22">
        <v>91</v>
      </c>
      <c r="G305" s="22">
        <v>6.9</v>
      </c>
      <c r="H305" s="22">
        <v>96.5</v>
      </c>
      <c r="I305" s="23">
        <v>0.46300000000000002</v>
      </c>
      <c r="J305" s="23">
        <v>7.0999999999999994E-2</v>
      </c>
    </row>
    <row r="306" spans="1:10">
      <c r="A306" s="19" t="s">
        <v>50</v>
      </c>
      <c r="B306" s="1" t="s">
        <v>43</v>
      </c>
      <c r="C306" s="1" t="s">
        <v>37</v>
      </c>
      <c r="D306" s="1" t="s">
        <v>33</v>
      </c>
      <c r="E306" s="16">
        <v>3620</v>
      </c>
      <c r="F306" s="17">
        <v>54.3</v>
      </c>
      <c r="G306" s="17">
        <v>2.5</v>
      </c>
      <c r="H306" s="17">
        <v>56.8</v>
      </c>
      <c r="I306" s="18">
        <v>0.57899999999999996</v>
      </c>
      <c r="J306" s="18">
        <v>8.7999999999999995E-2</v>
      </c>
    </row>
    <row r="307" spans="1:10">
      <c r="A307" s="20" t="s">
        <v>50</v>
      </c>
      <c r="B307" s="3" t="s">
        <v>44</v>
      </c>
      <c r="C307" s="3" t="s">
        <v>29</v>
      </c>
      <c r="D307" s="3" t="s">
        <v>30</v>
      </c>
      <c r="E307" s="21">
        <v>1657</v>
      </c>
      <c r="F307" s="22">
        <v>140.9</v>
      </c>
      <c r="G307" s="22">
        <v>9.5</v>
      </c>
      <c r="H307" s="22">
        <v>144</v>
      </c>
      <c r="I307" s="23">
        <v>32.200000000000003</v>
      </c>
      <c r="J307" s="23">
        <v>5.5E-2</v>
      </c>
    </row>
    <row r="308" spans="1:10">
      <c r="A308" s="19" t="s">
        <v>50</v>
      </c>
      <c r="B308" s="1" t="s">
        <v>44</v>
      </c>
      <c r="C308" s="1" t="s">
        <v>29</v>
      </c>
      <c r="D308" s="1" t="s">
        <v>31</v>
      </c>
      <c r="E308" s="16">
        <v>1916</v>
      </c>
      <c r="F308" s="17">
        <v>115</v>
      </c>
      <c r="G308" s="17">
        <v>8.1</v>
      </c>
      <c r="H308" s="17">
        <v>115</v>
      </c>
      <c r="I308" s="18">
        <v>0.432</v>
      </c>
      <c r="J308" s="18">
        <v>8.5000000000000006E-2</v>
      </c>
    </row>
    <row r="309" spans="1:10">
      <c r="A309" s="20" t="s">
        <v>50</v>
      </c>
      <c r="B309" s="3" t="s">
        <v>44</v>
      </c>
      <c r="C309" s="3" t="s">
        <v>29</v>
      </c>
      <c r="D309" s="3" t="s">
        <v>32</v>
      </c>
      <c r="E309" s="21">
        <v>3576</v>
      </c>
      <c r="F309" s="22">
        <v>89.4</v>
      </c>
      <c r="G309" s="22">
        <v>3.6</v>
      </c>
      <c r="H309" s="22">
        <v>91.2</v>
      </c>
      <c r="I309" s="23">
        <v>0.46400000000000002</v>
      </c>
      <c r="J309" s="23">
        <v>7.8E-2</v>
      </c>
    </row>
    <row r="310" spans="1:10">
      <c r="A310" s="19" t="s">
        <v>50</v>
      </c>
      <c r="B310" s="1" t="s">
        <v>44</v>
      </c>
      <c r="C310" s="1" t="s">
        <v>29</v>
      </c>
      <c r="D310" s="1" t="s">
        <v>33</v>
      </c>
      <c r="E310" s="16">
        <v>3666</v>
      </c>
      <c r="F310" s="17">
        <v>55</v>
      </c>
      <c r="G310" s="17">
        <v>3.6</v>
      </c>
      <c r="H310" s="17">
        <v>56.8</v>
      </c>
      <c r="I310" s="18">
        <v>0.53800000000000003</v>
      </c>
      <c r="J310" s="18">
        <v>5.2999999999999999E-2</v>
      </c>
    </row>
    <row r="311" spans="1:10">
      <c r="A311" s="20" t="s">
        <v>50</v>
      </c>
      <c r="B311" s="3" t="s">
        <v>44</v>
      </c>
      <c r="C311" s="3" t="s">
        <v>34</v>
      </c>
      <c r="D311" s="3" t="s">
        <v>30</v>
      </c>
      <c r="E311" s="21">
        <v>1334</v>
      </c>
      <c r="F311" s="22">
        <v>113.4</v>
      </c>
      <c r="G311" s="22">
        <v>6.7</v>
      </c>
      <c r="H311" s="22">
        <v>101.3</v>
      </c>
      <c r="I311" s="23">
        <v>0.35199999999999998</v>
      </c>
      <c r="J311" s="23">
        <v>7.9000000000000001E-2</v>
      </c>
    </row>
    <row r="312" spans="1:10">
      <c r="A312" s="19" t="s">
        <v>50</v>
      </c>
      <c r="B312" s="1" t="s">
        <v>44</v>
      </c>
      <c r="C312" s="1" t="s">
        <v>34</v>
      </c>
      <c r="D312" s="1" t="s">
        <v>31</v>
      </c>
      <c r="E312" s="16">
        <v>1413</v>
      </c>
      <c r="F312" s="17">
        <v>84.8</v>
      </c>
      <c r="G312" s="17">
        <v>5.0999999999999996</v>
      </c>
      <c r="H312" s="17">
        <v>75.7</v>
      </c>
      <c r="I312" s="18">
        <v>0.41</v>
      </c>
      <c r="J312" s="18">
        <v>8.1000000000000003E-2</v>
      </c>
    </row>
    <row r="313" spans="1:10">
      <c r="A313" s="20" t="s">
        <v>50</v>
      </c>
      <c r="B313" s="3" t="s">
        <v>44</v>
      </c>
      <c r="C313" s="3" t="s">
        <v>34</v>
      </c>
      <c r="D313" s="3" t="s">
        <v>32</v>
      </c>
      <c r="E313" s="21">
        <v>3288</v>
      </c>
      <c r="F313" s="22">
        <v>82.2</v>
      </c>
      <c r="G313" s="22">
        <v>5.3</v>
      </c>
      <c r="H313" s="22">
        <v>71.400000000000006</v>
      </c>
      <c r="I313" s="23">
        <v>0.44500000000000001</v>
      </c>
      <c r="J313" s="23">
        <v>3.5999999999999997E-2</v>
      </c>
    </row>
    <row r="314" spans="1:10">
      <c r="A314" s="19" t="s">
        <v>50</v>
      </c>
      <c r="B314" s="1" t="s">
        <v>44</v>
      </c>
      <c r="C314" s="1" t="s">
        <v>34</v>
      </c>
      <c r="D314" s="1" t="s">
        <v>33</v>
      </c>
      <c r="E314" s="16">
        <v>3346</v>
      </c>
      <c r="F314" s="17">
        <v>50.2</v>
      </c>
      <c r="G314" s="17">
        <v>3.3</v>
      </c>
      <c r="H314" s="17">
        <v>45.4</v>
      </c>
      <c r="I314" s="18">
        <v>0.56699999999999995</v>
      </c>
      <c r="J314" s="18">
        <v>4.5999999999999999E-2</v>
      </c>
    </row>
    <row r="315" spans="1:10">
      <c r="A315" s="20" t="s">
        <v>50</v>
      </c>
      <c r="B315" s="3" t="s">
        <v>44</v>
      </c>
      <c r="C315" s="3" t="s">
        <v>35</v>
      </c>
      <c r="D315" s="3" t="s">
        <v>30</v>
      </c>
      <c r="E315" s="21">
        <v>1091</v>
      </c>
      <c r="F315" s="22">
        <v>92.8</v>
      </c>
      <c r="G315" s="22">
        <v>4.8</v>
      </c>
      <c r="H315" s="22">
        <v>93.9</v>
      </c>
      <c r="I315" s="23">
        <v>0.39200000000000002</v>
      </c>
      <c r="J315" s="23">
        <v>7.5999999999999998E-2</v>
      </c>
    </row>
    <row r="316" spans="1:10">
      <c r="A316" s="19" t="s">
        <v>50</v>
      </c>
      <c r="B316" s="1" t="s">
        <v>44</v>
      </c>
      <c r="C316" s="1" t="s">
        <v>35</v>
      </c>
      <c r="D316" s="1" t="s">
        <v>31</v>
      </c>
      <c r="E316" s="16">
        <v>1186</v>
      </c>
      <c r="F316" s="17">
        <v>71.2</v>
      </c>
      <c r="G316" s="17">
        <v>5.0999999999999996</v>
      </c>
      <c r="H316" s="17">
        <v>74.7</v>
      </c>
      <c r="I316" s="18">
        <v>0.434</v>
      </c>
      <c r="J316" s="18">
        <v>7.0000000000000007E-2</v>
      </c>
    </row>
    <row r="317" spans="1:10">
      <c r="A317" s="20" t="s">
        <v>50</v>
      </c>
      <c r="B317" s="3" t="s">
        <v>44</v>
      </c>
      <c r="C317" s="3" t="s">
        <v>35</v>
      </c>
      <c r="D317" s="3" t="s">
        <v>32</v>
      </c>
      <c r="E317" s="21">
        <v>2276</v>
      </c>
      <c r="F317" s="22">
        <v>56.9</v>
      </c>
      <c r="G317" s="22">
        <v>3.8</v>
      </c>
      <c r="H317" s="22">
        <v>61.5</v>
      </c>
      <c r="I317" s="23">
        <v>0.47299999999999998</v>
      </c>
      <c r="J317" s="23">
        <v>4.5999999999999999E-2</v>
      </c>
    </row>
    <row r="318" spans="1:10">
      <c r="A318" s="19" t="s">
        <v>50</v>
      </c>
      <c r="B318" s="1" t="s">
        <v>44</v>
      </c>
      <c r="C318" s="1" t="s">
        <v>35</v>
      </c>
      <c r="D318" s="1" t="s">
        <v>33</v>
      </c>
      <c r="E318" s="16">
        <v>1913</v>
      </c>
      <c r="F318" s="17">
        <v>28.7</v>
      </c>
      <c r="G318" s="17">
        <v>1.2</v>
      </c>
      <c r="H318" s="17">
        <v>30.3</v>
      </c>
      <c r="I318" s="18">
        <v>0.52500000000000002</v>
      </c>
      <c r="J318" s="18">
        <v>6.4000000000000001E-2</v>
      </c>
    </row>
    <row r="319" spans="1:10">
      <c r="A319" s="20" t="s">
        <v>50</v>
      </c>
      <c r="B319" s="3" t="s">
        <v>44</v>
      </c>
      <c r="C319" s="3" t="s">
        <v>37</v>
      </c>
      <c r="D319" s="3" t="s">
        <v>30</v>
      </c>
      <c r="E319" s="21">
        <v>912</v>
      </c>
      <c r="F319" s="22">
        <v>77.599999999999994</v>
      </c>
      <c r="G319" s="22">
        <v>3.8</v>
      </c>
      <c r="H319" s="22">
        <v>80.900000000000006</v>
      </c>
      <c r="I319" s="23">
        <v>0.39300000000000002</v>
      </c>
      <c r="J319" s="23">
        <v>7.6999999999999999E-2</v>
      </c>
    </row>
    <row r="320" spans="1:10">
      <c r="A320" s="19" t="s">
        <v>50</v>
      </c>
      <c r="B320" s="1" t="s">
        <v>44</v>
      </c>
      <c r="C320" s="1" t="s">
        <v>37</v>
      </c>
      <c r="D320" s="1" t="s">
        <v>31</v>
      </c>
      <c r="E320" s="16">
        <v>1000</v>
      </c>
      <c r="F320" s="17">
        <v>60</v>
      </c>
      <c r="G320" s="17">
        <v>3.6</v>
      </c>
      <c r="H320" s="17">
        <v>64.099999999999994</v>
      </c>
      <c r="I320" s="18">
        <v>0.45</v>
      </c>
      <c r="J320" s="18">
        <v>0.08</v>
      </c>
    </row>
    <row r="321" spans="1:10">
      <c r="A321" s="20" t="s">
        <v>50</v>
      </c>
      <c r="B321" s="3" t="s">
        <v>44</v>
      </c>
      <c r="C321" s="3" t="s">
        <v>37</v>
      </c>
      <c r="D321" s="3" t="s">
        <v>32</v>
      </c>
      <c r="E321" s="21">
        <v>1692</v>
      </c>
      <c r="F321" s="22">
        <v>42.3</v>
      </c>
      <c r="G321" s="22">
        <v>1.9</v>
      </c>
      <c r="H321" s="22">
        <v>42.7</v>
      </c>
      <c r="I321" s="23">
        <v>0.505</v>
      </c>
      <c r="J321" s="23">
        <v>4.5999999999999999E-2</v>
      </c>
    </row>
    <row r="322" spans="1:10">
      <c r="A322" s="19" t="s">
        <v>50</v>
      </c>
      <c r="B322" s="1" t="s">
        <v>44</v>
      </c>
      <c r="C322" s="1" t="s">
        <v>37</v>
      </c>
      <c r="D322" s="1" t="s">
        <v>36</v>
      </c>
      <c r="E322" s="16">
        <v>1866</v>
      </c>
      <c r="F322" s="17">
        <v>28</v>
      </c>
      <c r="G322" s="17">
        <v>1.3</v>
      </c>
      <c r="H322" s="17">
        <v>29.5</v>
      </c>
      <c r="I322" s="18">
        <v>0.51700000000000002</v>
      </c>
      <c r="J322" s="18">
        <v>0.05</v>
      </c>
    </row>
    <row r="323" spans="1:10">
      <c r="A323" s="20" t="s">
        <v>50</v>
      </c>
      <c r="B323" s="3" t="s">
        <v>46</v>
      </c>
      <c r="C323" s="3" t="s">
        <v>29</v>
      </c>
      <c r="D323" s="3" t="s">
        <v>30</v>
      </c>
      <c r="E323" s="21">
        <v>1417</v>
      </c>
      <c r="F323" s="22">
        <v>120.5</v>
      </c>
      <c r="G323" s="22">
        <v>8.4</v>
      </c>
      <c r="H323" s="22">
        <v>110.2</v>
      </c>
      <c r="I323" s="23">
        <v>0.34699999999999998</v>
      </c>
      <c r="J323" s="23">
        <v>7.6999999999999999E-2</v>
      </c>
    </row>
    <row r="324" spans="1:10">
      <c r="A324" s="19" t="s">
        <v>50</v>
      </c>
      <c r="B324" s="1" t="s">
        <v>46</v>
      </c>
      <c r="C324" s="1" t="s">
        <v>29</v>
      </c>
      <c r="D324" s="1" t="s">
        <v>31</v>
      </c>
      <c r="E324" s="16">
        <v>1531</v>
      </c>
      <c r="F324" s="17">
        <v>91.9</v>
      </c>
      <c r="G324" s="17">
        <v>4.8</v>
      </c>
      <c r="H324" s="17">
        <v>87.6</v>
      </c>
      <c r="I324" s="18">
        <v>0.44900000000000001</v>
      </c>
      <c r="J324" s="18">
        <v>5.8000000000000003E-2</v>
      </c>
    </row>
    <row r="325" spans="1:10">
      <c r="A325" s="20" t="s">
        <v>50</v>
      </c>
      <c r="B325" s="3" t="s">
        <v>46</v>
      </c>
      <c r="C325" s="3" t="s">
        <v>29</v>
      </c>
      <c r="D325" s="3" t="s">
        <v>32</v>
      </c>
      <c r="E325" s="21">
        <v>3320</v>
      </c>
      <c r="F325" s="22">
        <v>83</v>
      </c>
      <c r="G325" s="22">
        <v>6.5</v>
      </c>
      <c r="H325" s="22">
        <v>74.5</v>
      </c>
      <c r="I325" s="23">
        <v>0.48</v>
      </c>
      <c r="J325" s="23">
        <v>8.3000000000000004E-2</v>
      </c>
    </row>
    <row r="326" spans="1:10">
      <c r="A326" s="19" t="s">
        <v>50</v>
      </c>
      <c r="B326" s="1" t="s">
        <v>46</v>
      </c>
      <c r="C326" s="1" t="s">
        <v>29</v>
      </c>
      <c r="D326" s="1" t="s">
        <v>33</v>
      </c>
      <c r="E326" s="16">
        <v>3333</v>
      </c>
      <c r="F326" s="17">
        <v>50</v>
      </c>
      <c r="G326" s="17">
        <v>2.8</v>
      </c>
      <c r="H326" s="17">
        <v>45.7</v>
      </c>
      <c r="I326" s="18">
        <v>0.57799999999999996</v>
      </c>
      <c r="J326" s="18">
        <v>3.3000000000000002E-2</v>
      </c>
    </row>
    <row r="327" spans="1:10">
      <c r="A327" s="20" t="s">
        <v>50</v>
      </c>
      <c r="B327" s="3" t="s">
        <v>46</v>
      </c>
      <c r="C327" s="3" t="s">
        <v>34</v>
      </c>
      <c r="D327" s="3" t="s">
        <v>30</v>
      </c>
      <c r="E327" s="21">
        <v>1198</v>
      </c>
      <c r="F327" s="22">
        <v>101.9</v>
      </c>
      <c r="G327" s="22">
        <v>4.9000000000000004</v>
      </c>
      <c r="H327" s="22">
        <v>79.599999999999994</v>
      </c>
      <c r="I327" s="23">
        <v>0.39300000000000002</v>
      </c>
      <c r="J327" s="23">
        <v>6.4000000000000001E-2</v>
      </c>
    </row>
    <row r="328" spans="1:10">
      <c r="A328" s="19" t="s">
        <v>50</v>
      </c>
      <c r="B328" s="1" t="s">
        <v>46</v>
      </c>
      <c r="C328" s="1" t="s">
        <v>34</v>
      </c>
      <c r="D328" s="1" t="s">
        <v>31</v>
      </c>
      <c r="E328" s="16">
        <v>1478</v>
      </c>
      <c r="F328" s="17">
        <v>88.7</v>
      </c>
      <c r="G328" s="17">
        <v>4.7</v>
      </c>
      <c r="H328" s="17">
        <v>71</v>
      </c>
      <c r="I328" s="18">
        <v>0.41899999999999998</v>
      </c>
      <c r="J328" s="18">
        <v>7.6999999999999999E-2</v>
      </c>
    </row>
    <row r="329" spans="1:10">
      <c r="A329" s="20" t="s">
        <v>50</v>
      </c>
      <c r="B329" s="3" t="s">
        <v>46</v>
      </c>
      <c r="C329" s="3" t="s">
        <v>34</v>
      </c>
      <c r="D329" s="3" t="s">
        <v>32</v>
      </c>
      <c r="E329" s="21">
        <v>3056</v>
      </c>
      <c r="F329" s="22">
        <v>76.400000000000006</v>
      </c>
      <c r="G329" s="22">
        <v>3.6</v>
      </c>
      <c r="H329" s="22">
        <v>60.7</v>
      </c>
      <c r="I329" s="23">
        <v>0.46200000000000002</v>
      </c>
      <c r="J329" s="23">
        <v>0.03</v>
      </c>
    </row>
    <row r="330" spans="1:10">
      <c r="A330" s="19" t="s">
        <v>50</v>
      </c>
      <c r="B330" s="1" t="s">
        <v>46</v>
      </c>
      <c r="C330" s="1" t="s">
        <v>34</v>
      </c>
      <c r="D330" s="1" t="s">
        <v>36</v>
      </c>
      <c r="E330" s="16">
        <v>2933</v>
      </c>
      <c r="F330" s="17">
        <v>44</v>
      </c>
      <c r="G330" s="17">
        <v>2.1</v>
      </c>
      <c r="H330" s="17">
        <v>35.4</v>
      </c>
      <c r="I330" s="18">
        <v>0.57099999999999995</v>
      </c>
      <c r="J330" s="18">
        <v>5.8999999999999997E-2</v>
      </c>
    </row>
    <row r="331" spans="1:10">
      <c r="A331" s="20" t="s">
        <v>50</v>
      </c>
      <c r="B331" s="3" t="s">
        <v>46</v>
      </c>
      <c r="C331" s="3" t="s">
        <v>35</v>
      </c>
      <c r="D331" s="3" t="s">
        <v>30</v>
      </c>
      <c r="E331" s="21">
        <v>798</v>
      </c>
      <c r="F331" s="22">
        <v>67.900000000000006</v>
      </c>
      <c r="G331" s="22">
        <v>4.4000000000000004</v>
      </c>
      <c r="H331" s="22">
        <v>63.7</v>
      </c>
      <c r="I331" s="23">
        <v>0.39700000000000002</v>
      </c>
      <c r="J331" s="23">
        <v>5.3999999999999999E-2</v>
      </c>
    </row>
    <row r="332" spans="1:10">
      <c r="A332" s="19" t="s">
        <v>50</v>
      </c>
      <c r="B332" s="1" t="s">
        <v>46</v>
      </c>
      <c r="C332" s="1" t="s">
        <v>35</v>
      </c>
      <c r="D332" s="1" t="s">
        <v>31</v>
      </c>
      <c r="E332" s="16">
        <v>980</v>
      </c>
      <c r="F332" s="17">
        <v>58.8</v>
      </c>
      <c r="G332" s="17">
        <v>2.4</v>
      </c>
      <c r="H332" s="17">
        <v>53.3</v>
      </c>
      <c r="I332" s="18">
        <v>0.38100000000000001</v>
      </c>
      <c r="J332" s="18">
        <v>5.1999999999999998E-2</v>
      </c>
    </row>
    <row r="333" spans="1:10">
      <c r="A333" s="20" t="s">
        <v>50</v>
      </c>
      <c r="B333" s="3" t="s">
        <v>46</v>
      </c>
      <c r="C333" s="3" t="s">
        <v>35</v>
      </c>
      <c r="D333" s="3" t="s">
        <v>32</v>
      </c>
      <c r="E333" s="21">
        <v>1888</v>
      </c>
      <c r="F333" s="22">
        <v>47.2</v>
      </c>
      <c r="G333" s="22">
        <v>3.5</v>
      </c>
      <c r="H333" s="22">
        <v>42.8</v>
      </c>
      <c r="I333" s="23">
        <v>0.49</v>
      </c>
      <c r="J333" s="23">
        <v>7.0999999999999994E-2</v>
      </c>
    </row>
    <row r="334" spans="1:10">
      <c r="A334" s="19" t="s">
        <v>50</v>
      </c>
      <c r="B334" s="1" t="s">
        <v>46</v>
      </c>
      <c r="C334" s="1" t="s">
        <v>35</v>
      </c>
      <c r="D334" s="1" t="s">
        <v>33</v>
      </c>
      <c r="E334" s="16">
        <v>1706</v>
      </c>
      <c r="F334" s="17">
        <v>25.6</v>
      </c>
      <c r="G334" s="17">
        <v>1.7</v>
      </c>
      <c r="H334" s="17">
        <v>23.5</v>
      </c>
      <c r="I334" s="18">
        <v>0.54100000000000004</v>
      </c>
      <c r="J334" s="18">
        <v>3.7999999999999999E-2</v>
      </c>
    </row>
    <row r="335" spans="1:10">
      <c r="A335" s="20" t="s">
        <v>50</v>
      </c>
      <c r="B335" s="3" t="s">
        <v>46</v>
      </c>
      <c r="C335" s="3" t="s">
        <v>37</v>
      </c>
      <c r="D335" s="3" t="s">
        <v>30</v>
      </c>
      <c r="E335" s="21">
        <v>818</v>
      </c>
      <c r="F335" s="22">
        <v>69.599999999999994</v>
      </c>
      <c r="G335" s="22">
        <v>3.2</v>
      </c>
      <c r="H335" s="22">
        <v>66.3</v>
      </c>
      <c r="I335" s="23">
        <v>0.34300000000000003</v>
      </c>
      <c r="J335" s="23">
        <v>4.8000000000000001E-2</v>
      </c>
    </row>
    <row r="336" spans="1:10">
      <c r="A336" s="19" t="s">
        <v>50</v>
      </c>
      <c r="B336" s="1" t="s">
        <v>46</v>
      </c>
      <c r="C336" s="1" t="s">
        <v>37</v>
      </c>
      <c r="D336" s="1" t="s">
        <v>51</v>
      </c>
      <c r="E336" s="16">
        <v>948</v>
      </c>
      <c r="F336" s="17">
        <v>56.9</v>
      </c>
      <c r="G336" s="17">
        <v>3.6</v>
      </c>
      <c r="H336" s="17">
        <v>52.2</v>
      </c>
      <c r="I336" s="18">
        <v>0.46</v>
      </c>
      <c r="J336" s="18">
        <v>8.3000000000000004E-2</v>
      </c>
    </row>
    <row r="337" spans="1:10">
      <c r="A337" s="20" t="s">
        <v>50</v>
      </c>
      <c r="B337" s="3" t="s">
        <v>46</v>
      </c>
      <c r="C337" s="3" t="s">
        <v>37</v>
      </c>
      <c r="D337" s="3" t="s">
        <v>32</v>
      </c>
      <c r="E337" s="21">
        <v>1660</v>
      </c>
      <c r="F337" s="22">
        <v>41.5</v>
      </c>
      <c r="G337" s="22">
        <v>3.2</v>
      </c>
      <c r="H337" s="22">
        <v>38.200000000000003</v>
      </c>
      <c r="I337" s="23">
        <v>51.6</v>
      </c>
      <c r="J337" s="23">
        <v>4.1000000000000002E-2</v>
      </c>
    </row>
    <row r="338" spans="1:10">
      <c r="A338" s="19" t="s">
        <v>50</v>
      </c>
      <c r="B338" s="1" t="s">
        <v>46</v>
      </c>
      <c r="C338" s="1" t="s">
        <v>37</v>
      </c>
      <c r="D338" s="1" t="s">
        <v>33</v>
      </c>
      <c r="E338" s="16">
        <v>1820</v>
      </c>
      <c r="F338" s="17">
        <v>27.3</v>
      </c>
      <c r="G338" s="17">
        <v>1.5</v>
      </c>
      <c r="H338" s="17">
        <v>24.8</v>
      </c>
      <c r="I338" s="18">
        <v>0.52</v>
      </c>
      <c r="J338" s="18">
        <v>7.3999999999999996E-2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6080D-78F5-4E69-BE0B-A34FD0B4BD9F}">
  <dimension ref="A1:F12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20.7109375" customWidth="1"/>
    <col min="2" max="6" width="16.7109375" customWidth="1"/>
  </cols>
  <sheetData>
    <row r="1" spans="1:6" ht="20.25">
      <c r="A1" s="24" t="s">
        <v>53</v>
      </c>
      <c r="B1" s="1"/>
      <c r="C1" s="1"/>
      <c r="D1" s="1"/>
      <c r="E1" s="1"/>
      <c r="F1" s="1"/>
    </row>
    <row r="2" spans="1:6">
      <c r="A2" s="12" t="s">
        <v>54</v>
      </c>
      <c r="B2" s="1"/>
      <c r="C2" s="1"/>
      <c r="D2" s="1"/>
      <c r="E2" s="1"/>
      <c r="F2" s="1"/>
    </row>
    <row r="3" spans="1:6">
      <c r="A3" s="1"/>
      <c r="B3" s="1"/>
      <c r="C3" s="1"/>
      <c r="D3" s="1"/>
      <c r="E3" s="1"/>
      <c r="F3" s="1"/>
    </row>
    <row r="4" spans="1:6">
      <c r="A4" s="2" t="s">
        <v>8</v>
      </c>
      <c r="B4" s="25" t="s">
        <v>55</v>
      </c>
      <c r="C4" s="25" t="s">
        <v>56</v>
      </c>
      <c r="D4" s="25" t="s">
        <v>57</v>
      </c>
      <c r="E4" s="25" t="s">
        <v>58</v>
      </c>
      <c r="F4" s="25" t="s">
        <v>59</v>
      </c>
    </row>
    <row r="5" spans="1:6">
      <c r="A5" s="1" t="s">
        <v>28</v>
      </c>
      <c r="B5" s="17">
        <f>SUMIFS(SalesQ3[Net sales (USD k)],SalesQ3[Country],A5)</f>
        <v>9846.9999999999982</v>
      </c>
      <c r="C5" s="17">
        <f>SUMIFS(SalesQ3[Target (USD k)],SalesQ3[Country],A5)</f>
        <v>9122.7999999999975</v>
      </c>
      <c r="D5" s="18">
        <f>B5/$C$5</f>
        <v>1.0793835226027098</v>
      </c>
      <c r="E5" s="17">
        <f>SUMIFS(SalesQ3[Promo spend (USD k)],SalesQ3[Country],A5)</f>
        <v>626.80000000000018</v>
      </c>
      <c r="F5" s="18">
        <f>E5/B5</f>
        <v>6.3653904742561218E-2</v>
      </c>
    </row>
    <row r="6" spans="1:6">
      <c r="A6" s="3" t="s">
        <v>38</v>
      </c>
      <c r="B6" s="22">
        <f>SUMIFS(SalesQ3[Net sales (USD k)],SalesQ3[Country],A6)</f>
        <v>8355.2000000000007</v>
      </c>
      <c r="C6" s="22">
        <f>SUMIFS(SalesQ3[Target (USD k)],SalesQ3[Country],A6)</f>
        <v>8305.7000000000025</v>
      </c>
      <c r="D6" s="23">
        <f>B6/$C$5</f>
        <v>0.91585916604551265</v>
      </c>
      <c r="E6" s="22">
        <f>SUMIFS(SalesQ3[Promo spend (USD k)],SalesQ3[Country],A6)</f>
        <v>496</v>
      </c>
      <c r="F6" s="23">
        <f>E6/B6</f>
        <v>5.936422826503255E-2</v>
      </c>
    </row>
    <row r="7" spans="1:6">
      <c r="A7" s="1" t="s">
        <v>40</v>
      </c>
      <c r="B7" s="17">
        <f>SUMIFS(SalesQ3[Net sales (USD k)],SalesQ3[Country],A7)</f>
        <v>6298.3999999999978</v>
      </c>
      <c r="C7" s="17">
        <f>SUMIFS(SalesQ3[Target (USD k)],SalesQ3[Country],A7)</f>
        <v>6230.5000000000009</v>
      </c>
      <c r="D7" s="18">
        <f>B7/$C$5</f>
        <v>0.69040206954005345</v>
      </c>
      <c r="E7" s="17">
        <f>SUMIFS(SalesQ3[Promo spend (USD k)],SalesQ3[Country],A7)</f>
        <v>376.89999999999986</v>
      </c>
      <c r="F7" s="18">
        <f>E7/B7</f>
        <v>5.9840594436682333E-2</v>
      </c>
    </row>
    <row r="8" spans="1:6">
      <c r="A8" s="3" t="s">
        <v>41</v>
      </c>
      <c r="B8" s="22">
        <f>SUMIFS(SalesQ3[Net sales (USD k)],SalesQ3[Country],A8)</f>
        <v>4734.5</v>
      </c>
      <c r="C8" s="22">
        <v>4500</v>
      </c>
      <c r="D8" s="23">
        <f>B8/$C$5</f>
        <v>0.51897443767264451</v>
      </c>
      <c r="E8" s="22">
        <f>SUMIFS(SalesQ3[Promo spend (USD k)],SalesQ3[Country],A8)</f>
        <v>367.4</v>
      </c>
      <c r="F8" s="23">
        <f>E8/B8</f>
        <v>7.7600591403527291E-2</v>
      </c>
    </row>
    <row r="9" spans="1:6">
      <c r="A9" s="1" t="s">
        <v>43</v>
      </c>
      <c r="B9" s="17">
        <f>SUMIFS(SalesQ3[Net sales (USD k)],SalesQ3[Country],A9)</f>
        <v>7223.0999999999995</v>
      </c>
      <c r="C9" s="17">
        <f>SUMIFS(SalesQ3[Target (USD k)],SalesQ3[Country],A9)</f>
        <v>7405.5000000000009</v>
      </c>
      <c r="D9" s="18">
        <f>B9/$C$5</f>
        <v>0.79176349366422605</v>
      </c>
      <c r="E9" s="17">
        <f>SUMIFS(SalesQ3[Promo spend (USD k)],SalesQ3[Country],A9)</f>
        <v>453.50000000000011</v>
      </c>
      <c r="F9" s="18">
        <f>E9/B9</f>
        <v>6.2784676939264331E-2</v>
      </c>
    </row>
    <row r="10" spans="1:6">
      <c r="A10" s="3" t="s">
        <v>44</v>
      </c>
      <c r="B10" s="22">
        <f>SUMIFS(SalesQ3[Net sales (USD k)],SalesQ3[Country],A10)</f>
        <v>3409.4000000000005</v>
      </c>
      <c r="C10" s="22">
        <f>SUMIFS(SalesQ3[Target (USD k)],SalesQ3[Country],A10)</f>
        <v>3471.3999999999996</v>
      </c>
      <c r="D10" s="23">
        <f>B10/$C$5</f>
        <v>0.37372297978690772</v>
      </c>
      <c r="E10" s="22">
        <f>SUMIFS(SalesQ3[Promo spend (USD k)],SalesQ3[Country],A10)</f>
        <v>205.9</v>
      </c>
      <c r="F10" s="23">
        <f>E10/B10</f>
        <v>6.0391857804892347E-2</v>
      </c>
    </row>
    <row r="11" spans="1:6">
      <c r="A11" s="1" t="s">
        <v>46</v>
      </c>
      <c r="B11" s="17">
        <f>SUMIFS(SalesQ3[Net sales (USD k)],SalesQ3[Country],A11)</f>
        <v>3075.2</v>
      </c>
      <c r="C11" s="17">
        <f>SUMIFS(SalesQ3[Target (USD k)],SalesQ3[Country],A11)</f>
        <v>2808.6999999999994</v>
      </c>
      <c r="D11" s="18">
        <f>B11/$C$5</f>
        <v>0.33708949006883859</v>
      </c>
      <c r="E11" s="17">
        <f>SUMIFS(SalesQ3[Promo spend (USD k)],SalesQ3[Country],A11)</f>
        <v>182.09999999999997</v>
      </c>
      <c r="F11" s="18">
        <f>E11/B11</f>
        <v>5.9215660770031209E-2</v>
      </c>
    </row>
    <row r="12" spans="1:6">
      <c r="A12" s="26" t="s">
        <v>60</v>
      </c>
      <c r="B12" s="27">
        <f>SUM(B5:B10)</f>
        <v>39867.599999999999</v>
      </c>
      <c r="C12" s="27">
        <f>SUM(C5:C11)</f>
        <v>41844.6</v>
      </c>
      <c r="D12" s="28">
        <f>B12/C12</f>
        <v>0.95275376034183623</v>
      </c>
      <c r="E12" s="27">
        <f>SUM(E5:E11)</f>
        <v>2708.6</v>
      </c>
      <c r="F12" s="28">
        <f>E12/B12</f>
        <v>6.7939881006130298E-2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7867195-f2b8-4ac2-b0b6-6bb73cb33afc}" enabled="1" method="Privilege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i:0#.f|membership|marcoobinu@microsoft.com</cp:lastModifiedBy>
  <cp:revision/>
  <dcterms:created xsi:type="dcterms:W3CDTF">2026-10-19T16:32:56Z</dcterms:created>
  <dcterms:modified xsi:type="dcterms:W3CDTF">2026-10-19T16:34:16Z</dcterms:modified>
  <cp:category/>
  <cp:contentStatus/>
</cp:coreProperties>
</file>